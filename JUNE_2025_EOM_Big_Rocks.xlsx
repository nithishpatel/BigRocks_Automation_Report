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sure.sharepoint.com/sites/Verisure_UK_BI/Shared Documents/Operations/Reports/Weekly Reports/01. Big Rocks/"/>
    </mc:Choice>
  </mc:AlternateContent>
  <xr:revisionPtr revIDLastSave="0" documentId="8_{688E67D9-F802-4006-AF04-182FFAC9B8B2}" xr6:coauthVersionLast="47" xr6:coauthVersionMax="47" xr10:uidLastSave="{00000000-0000-0000-0000-000000000000}"/>
  <bookViews>
    <workbookView xWindow="-13785" yWindow="-1641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4" i="1" l="1"/>
  <c r="X43" i="1"/>
  <c r="X88" i="1"/>
  <c r="U70" i="1"/>
  <c r="V70" i="1"/>
  <c r="X19" i="1"/>
  <c r="X97" i="1"/>
  <c r="X40" i="1"/>
  <c r="X39" i="1"/>
  <c r="X35" i="1"/>
  <c r="X33" i="1"/>
  <c r="X32" i="1"/>
  <c r="X61" i="1"/>
  <c r="X60" i="1"/>
  <c r="X55" i="1"/>
  <c r="X56" i="1"/>
  <c r="X57" i="1"/>
  <c r="X58" i="1"/>
  <c r="X54" i="1"/>
  <c r="X95" i="1"/>
  <c r="X93" i="1"/>
  <c r="V87" i="1"/>
  <c r="V88" i="1" s="1"/>
  <c r="X78" i="1"/>
  <c r="V85" i="1"/>
  <c r="V80" i="1"/>
  <c r="V95" i="1"/>
  <c r="V93" i="1"/>
  <c r="X90" i="1"/>
  <c r="X69" i="1"/>
  <c r="U95" i="1"/>
  <c r="U93" i="1"/>
  <c r="U87" i="1"/>
  <c r="U88" i="1" s="1"/>
  <c r="U85" i="1"/>
  <c r="T93" i="1"/>
  <c r="T85" i="1"/>
  <c r="T95" i="1"/>
  <c r="T70" i="1"/>
  <c r="T87" i="1"/>
  <c r="T88" i="1" s="1"/>
  <c r="T80" i="1"/>
  <c r="R85" i="1"/>
  <c r="S85" i="1"/>
  <c r="S70" i="1"/>
  <c r="L95" i="1"/>
  <c r="K95" i="1"/>
  <c r="J95" i="1"/>
  <c r="I95" i="1"/>
  <c r="L93" i="1"/>
  <c r="K93" i="1"/>
  <c r="J93" i="1"/>
  <c r="I93" i="1"/>
  <c r="L87" i="1"/>
  <c r="L88" i="1" s="1"/>
  <c r="K87" i="1"/>
  <c r="K88" i="1" s="1"/>
  <c r="J87" i="1"/>
  <c r="J88" i="1" s="1"/>
  <c r="I87" i="1"/>
  <c r="L85" i="1"/>
  <c r="K85" i="1"/>
  <c r="J85" i="1"/>
  <c r="L70" i="1"/>
  <c r="K70" i="1"/>
  <c r="J70" i="1"/>
  <c r="I70" i="1"/>
  <c r="J43" i="1"/>
  <c r="S93" i="1"/>
  <c r="S95" i="1"/>
  <c r="S87" i="1"/>
  <c r="S88" i="1" s="1"/>
  <c r="S80" i="1"/>
  <c r="R80" i="1"/>
  <c r="R87" i="1"/>
  <c r="R70" i="1"/>
  <c r="R95" i="1"/>
  <c r="R93" i="1"/>
  <c r="D43" i="1"/>
  <c r="E43" i="1"/>
  <c r="F43" i="1"/>
  <c r="G43" i="1"/>
  <c r="D88" i="1"/>
  <c r="E88" i="1"/>
  <c r="F88" i="1"/>
  <c r="G88" i="1"/>
  <c r="G93" i="1"/>
  <c r="G95" i="1"/>
  <c r="X70" i="1" l="1"/>
  <c r="X80" i="1"/>
  <c r="X85" i="1"/>
  <c r="R88" i="1"/>
  <c r="I88" i="1"/>
</calcChain>
</file>

<file path=xl/sharedStrings.xml><?xml version="1.0" encoding="utf-8"?>
<sst xmlns="http://schemas.openxmlformats.org/spreadsheetml/2006/main" count="581" uniqueCount="141">
  <si>
    <t>UK Operations Big Rocks 2024-2025</t>
  </si>
  <si>
    <t>week1</t>
  </si>
  <si>
    <t>week2</t>
  </si>
  <si>
    <t>week 3</t>
  </si>
  <si>
    <t>week 4</t>
  </si>
  <si>
    <t>week 5</t>
  </si>
  <si>
    <t>1st-3th</t>
  </si>
  <si>
    <t>4th-10th</t>
  </si>
  <si>
    <t>11th-17th</t>
  </si>
  <si>
    <t>18th-24th</t>
  </si>
  <si>
    <t>1st-7th</t>
  </si>
  <si>
    <t>8th-14th</t>
  </si>
  <si>
    <t>15th-21th</t>
  </si>
  <si>
    <t>22th-28th</t>
  </si>
  <si>
    <t>1st-5th</t>
  </si>
  <si>
    <t>6th-12th</t>
  </si>
  <si>
    <t>13th-19th</t>
  </si>
  <si>
    <t>20th-26th</t>
  </si>
  <si>
    <t>27th-31st</t>
  </si>
  <si>
    <t>1st-31th</t>
  </si>
  <si>
    <t>1st-30th</t>
  </si>
  <si>
    <t>Target</t>
  </si>
  <si>
    <t>2nd-8th</t>
  </si>
  <si>
    <t>9th-15th</t>
  </si>
  <si>
    <t>16th-22nd</t>
  </si>
  <si>
    <t>23rd-29th</t>
  </si>
  <si>
    <t>1st-31st</t>
  </si>
  <si>
    <t>MTD</t>
  </si>
  <si>
    <t>MTD-1</t>
  </si>
  <si>
    <t>Portfolio</t>
  </si>
  <si>
    <t>Alarm Receiving Centre</t>
  </si>
  <si>
    <t>Incidences</t>
  </si>
  <si>
    <t>Total incidences</t>
  </si>
  <si>
    <t>-</t>
  </si>
  <si>
    <t>Total incidences agent</t>
  </si>
  <si>
    <t>% Vericon</t>
  </si>
  <si>
    <t>Total incidences IE</t>
  </si>
  <si>
    <t>&gt;85%</t>
  </si>
  <si>
    <t>SLA</t>
  </si>
  <si>
    <t>Incidents response time &lt; 60"</t>
  </si>
  <si>
    <t>&lt;1.5%</t>
  </si>
  <si>
    <t>Incidents response time &gt; 180"</t>
  </si>
  <si>
    <t>Incidents response time &lt; 60" IE</t>
  </si>
  <si>
    <t>Incidents response time &gt; 180" IE</t>
  </si>
  <si>
    <t>Inbound calls</t>
  </si>
  <si>
    <t>Total inbound calls</t>
  </si>
  <si>
    <t>Incoming calls response time &lt; 40"</t>
  </si>
  <si>
    <t>Call Outs</t>
  </si>
  <si>
    <t>Guards</t>
  </si>
  <si>
    <t>&lt;5%</t>
  </si>
  <si>
    <t>Guards &lt; 40'</t>
  </si>
  <si>
    <t>Police</t>
  </si>
  <si>
    <t>False alarms</t>
  </si>
  <si>
    <t>Customer Services</t>
  </si>
  <si>
    <t>Calls</t>
  </si>
  <si>
    <t>Incoming calls</t>
  </si>
  <si>
    <t>Incoming calls response time &gt; 120"</t>
  </si>
  <si>
    <t>% Abandonment &gt; 10"</t>
  </si>
  <si>
    <t>Incoming calls IE</t>
  </si>
  <si>
    <t>Incoming calls response time &lt; 40" IE</t>
  </si>
  <si>
    <t>Chats</t>
  </si>
  <si>
    <t>Incoming chats</t>
  </si>
  <si>
    <t>Chats response time &lt; 60"</t>
  </si>
  <si>
    <t>Chats response time &gt; 120"</t>
  </si>
  <si>
    <t>&gt;95%</t>
  </si>
  <si>
    <t>WhatsApp</t>
  </si>
  <si>
    <t>Incoming WhatsApps</t>
  </si>
  <si>
    <t>Whatsapp response time &lt;180"</t>
  </si>
  <si>
    <t>&lt;10%</t>
  </si>
  <si>
    <t>Escalations</t>
  </si>
  <si>
    <t>Total escalations</t>
  </si>
  <si>
    <t>Escalations resolution time &lt; 24h</t>
  </si>
  <si>
    <t>Escalations resolution time &lt; 48h</t>
  </si>
  <si>
    <t>Repetition</t>
  </si>
  <si>
    <t>First Contact Resolution</t>
  </si>
  <si>
    <t>Repeated Contacts</t>
  </si>
  <si>
    <t>Field Services</t>
  </si>
  <si>
    <t>Services</t>
  </si>
  <si>
    <t>Opened</t>
  </si>
  <si>
    <t>N/A</t>
  </si>
  <si>
    <t>Finalized</t>
  </si>
  <si>
    <t>Aware</t>
  </si>
  <si>
    <t>Not Aware</t>
  </si>
  <si>
    <t>Opened IE</t>
  </si>
  <si>
    <t>Aware &lt; = 7 days</t>
  </si>
  <si>
    <t>Not Aware &lt;= 30 days</t>
  </si>
  <si>
    <t>Aware &lt; = 7 days IE</t>
  </si>
  <si>
    <t>Fulfillment</t>
  </si>
  <si>
    <t>Appointment Fulfillment</t>
  </si>
  <si>
    <t>First Time Fix &lt; 40 days</t>
  </si>
  <si>
    <t>Backlog</t>
  </si>
  <si>
    <t>% Backlog</t>
  </si>
  <si>
    <t>Backlog Aware</t>
  </si>
  <si>
    <t>Aware average age</t>
  </si>
  <si>
    <t>Backlog Not Aware</t>
  </si>
  <si>
    <t>Not aware average age</t>
  </si>
  <si>
    <t>&lt;25%</t>
  </si>
  <si>
    <t>&lt;5</t>
  </si>
  <si>
    <t>Customer Care</t>
  </si>
  <si>
    <t>Cancellation Requests</t>
  </si>
  <si>
    <t>Closed</t>
  </si>
  <si>
    <t>&gt;65%</t>
  </si>
  <si>
    <t>&gt;=30%</t>
  </si>
  <si>
    <t>Responded &lt; 2wd</t>
  </si>
  <si>
    <t>Responded &lt; 2wd IE</t>
  </si>
  <si>
    <t>Backlog size</t>
  </si>
  <si>
    <t>Backlog avg. age</t>
  </si>
  <si>
    <t>WIP</t>
  </si>
  <si>
    <t>Backlog size IE</t>
  </si>
  <si>
    <t>Retention rate</t>
  </si>
  <si>
    <t>Desk retention rate</t>
  </si>
  <si>
    <t>Field retention rate</t>
  </si>
  <si>
    <t>Onboarding</t>
  </si>
  <si>
    <t>On Boards</t>
  </si>
  <si>
    <t>New sales</t>
  </si>
  <si>
    <t># On Boarded customers</t>
  </si>
  <si>
    <t>On boarded &lt;  5 days</t>
  </si>
  <si>
    <t>DIY</t>
  </si>
  <si>
    <t xml:space="preserve">DIY services </t>
  </si>
  <si>
    <t xml:space="preserve">Finalized </t>
  </si>
  <si>
    <t>DIY - Field Split %</t>
  </si>
  <si>
    <t>Autonomous DIY %</t>
  </si>
  <si>
    <t xml:space="preserve">Backlog </t>
  </si>
  <si>
    <t>DIY to Field</t>
  </si>
  <si>
    <t>% from DIY to Field</t>
  </si>
  <si>
    <t>Back Office</t>
  </si>
  <si>
    <t>Missing Tests</t>
  </si>
  <si>
    <t>Received</t>
  </si>
  <si>
    <t>Sent to Field Service</t>
  </si>
  <si>
    <t>Received IE</t>
  </si>
  <si>
    <t>&lt;3%</t>
  </si>
  <si>
    <t>Captured &lt;48h</t>
  </si>
  <si>
    <t>Panel</t>
  </si>
  <si>
    <t>Panel size</t>
  </si>
  <si>
    <t>Zero Vision</t>
  </si>
  <si>
    <t>Zero Vision size</t>
  </si>
  <si>
    <t>Tech Support</t>
  </si>
  <si>
    <t>Answered</t>
  </si>
  <si>
    <t>Abandonment</t>
  </si>
  <si>
    <t>Quality</t>
  </si>
  <si>
    <t>FAQ Adherence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</si>
</sst>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C00000"/>
      <name val="Calibri"/>
    </font>
    <font>
      <b/>
      <sz val="11"/>
      <color rgb="FF000000"/>
      <name val="Calibri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3" fillId="0" borderId="2" xfId="0" applyFont="1" applyBorder="1"/>
    <xf numFmtId="0" fontId="3" fillId="0" borderId="1" xfId="0" applyFont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1" xfId="0" applyFont="1" applyBorder="1" applyAlignment="1">
      <alignment wrapText="1"/>
    </xf>
    <xf numFmtId="0" fontId="3" fillId="4" borderId="3" xfId="0" applyFont="1" applyFill="1" applyBorder="1"/>
    <xf numFmtId="0" fontId="3" fillId="4" borderId="4" xfId="0" applyFont="1" applyFill="1" applyBorder="1"/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0" fontId="3" fillId="0" borderId="0" xfId="0" applyNumberFormat="1" applyFont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0" fillId="3" borderId="0" xfId="0" applyFill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1" xfId="0" quotePrefix="1" applyFont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0" fontId="6" fillId="0" borderId="2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0" borderId="8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0" fontId="3" fillId="0" borderId="14" xfId="0" applyNumberFormat="1" applyFont="1" applyBorder="1" applyAlignment="1">
      <alignment horizontal="center"/>
    </xf>
    <xf numFmtId="10" fontId="3" fillId="0" borderId="10" xfId="0" applyNumberFormat="1" applyFont="1" applyBorder="1" applyAlignment="1">
      <alignment horizontal="center"/>
    </xf>
    <xf numFmtId="10" fontId="3" fillId="0" borderId="13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0" fontId="3" fillId="3" borderId="2" xfId="0" applyNumberFormat="1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10" fontId="3" fillId="3" borderId="4" xfId="0" applyNumberFormat="1" applyFont="1" applyFill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3" fontId="5" fillId="3" borderId="0" xfId="0" applyNumberFormat="1" applyFont="1" applyFill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17" fontId="9" fillId="0" borderId="0" xfId="0" applyNumberFormat="1" applyFont="1" applyAlignment="1">
      <alignment horizontal="center"/>
    </xf>
    <xf numFmtId="3" fontId="10" fillId="0" borderId="0" xfId="0" applyNumberFormat="1" applyFont="1" applyAlignment="1">
      <alignment horizontal="center"/>
    </xf>
    <xf numFmtId="3" fontId="8" fillId="0" borderId="2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10" fontId="8" fillId="0" borderId="3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0" fontId="8" fillId="0" borderId="12" xfId="0" applyNumberFormat="1" applyFont="1" applyBorder="1" applyAlignment="1">
      <alignment horizontal="center"/>
    </xf>
    <xf numFmtId="10" fontId="8" fillId="4" borderId="4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0" fontId="8" fillId="0" borderId="18" xfId="0" applyNumberFormat="1" applyFont="1" applyBorder="1" applyAlignment="1">
      <alignment horizontal="center"/>
    </xf>
    <xf numFmtId="10" fontId="8" fillId="0" borderId="6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3" borderId="0" xfId="0" applyNumberFormat="1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0" fontId="6" fillId="3" borderId="1" xfId="0" applyNumberFormat="1" applyFont="1" applyFill="1" applyBorder="1" applyAlignment="1">
      <alignment horizontal="center"/>
    </xf>
    <xf numFmtId="10" fontId="6" fillId="0" borderId="8" xfId="0" applyNumberFormat="1" applyFont="1" applyBorder="1" applyAlignment="1">
      <alignment horizontal="center"/>
    </xf>
    <xf numFmtId="10" fontId="6" fillId="0" borderId="3" xfId="0" applyNumberFormat="1" applyFont="1" applyBorder="1" applyAlignment="1">
      <alignment horizontal="center"/>
    </xf>
    <xf numFmtId="10" fontId="6" fillId="3" borderId="12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0" fontId="6" fillId="0" borderId="0" xfId="0" applyNumberFormat="1" applyFont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0" fontId="6" fillId="3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0" fontId="6" fillId="0" borderId="17" xfId="0" applyNumberFormat="1" applyFont="1" applyBorder="1" applyAlignment="1">
      <alignment horizontal="center"/>
    </xf>
    <xf numFmtId="10" fontId="6" fillId="0" borderId="10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0" fontId="6" fillId="0" borderId="14" xfId="0" applyNumberFormat="1" applyFont="1" applyBorder="1" applyAlignment="1">
      <alignment horizontal="center"/>
    </xf>
    <xf numFmtId="10" fontId="6" fillId="0" borderId="13" xfId="0" applyNumberFormat="1" applyFont="1" applyBorder="1" applyAlignment="1">
      <alignment horizontal="center"/>
    </xf>
    <xf numFmtId="10" fontId="6" fillId="0" borderId="19" xfId="0" applyNumberFormat="1" applyFont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/>
    <xf numFmtId="0" fontId="3" fillId="0" borderId="5" xfId="0" applyFont="1" applyBorder="1"/>
    <xf numFmtId="10" fontId="6" fillId="0" borderId="0" xfId="0" applyNumberFormat="1" applyFont="1" applyAlignment="1">
      <alignment horizontal="center" vertical="center"/>
    </xf>
    <xf numFmtId="0" fontId="3" fillId="0" borderId="12" xfId="0" applyFont="1" applyBorder="1"/>
    <xf numFmtId="10" fontId="6" fillId="3" borderId="19" xfId="0" applyNumberFormat="1" applyFont="1" applyFill="1" applyBorder="1" applyAlignment="1">
      <alignment horizontal="center"/>
    </xf>
    <xf numFmtId="0" fontId="3" fillId="0" borderId="6" xfId="0" applyFont="1" applyBorder="1"/>
    <xf numFmtId="0" fontId="3" fillId="0" borderId="11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164" fontId="4" fillId="0" borderId="0" xfId="0" applyNumberFormat="1" applyFont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" fontId="6" fillId="3" borderId="2" xfId="0" applyNumberFormat="1" applyFont="1" applyFill="1" applyBorder="1" applyAlignment="1">
      <alignment horizontal="center"/>
    </xf>
    <xf numFmtId="10" fontId="6" fillId="3" borderId="10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3" fillId="0" borderId="23" xfId="0" applyFont="1" applyBorder="1" applyAlignment="1">
      <alignment horizontal="left"/>
    </xf>
    <xf numFmtId="0" fontId="3" fillId="0" borderId="21" xfId="0" applyFont="1" applyBorder="1"/>
    <xf numFmtId="0" fontId="13" fillId="0" borderId="12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2" borderId="2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/>
    </xf>
    <xf numFmtId="0" fontId="3" fillId="0" borderId="23" xfId="0" applyFont="1" applyBorder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3" borderId="12" xfId="0" applyFont="1" applyFill="1" applyBorder="1"/>
    <xf numFmtId="0" fontId="3" fillId="3" borderId="1" xfId="0" applyFont="1" applyFill="1" applyBorder="1"/>
    <xf numFmtId="0" fontId="13" fillId="0" borderId="23" xfId="0" applyFont="1" applyBorder="1"/>
    <xf numFmtId="0" fontId="2" fillId="2" borderId="12" xfId="0" applyFont="1" applyFill="1" applyBorder="1" applyAlignment="1">
      <alignment horizontal="center" vertical="center" wrapText="1"/>
    </xf>
    <xf numFmtId="0" fontId="3" fillId="0" borderId="5" xfId="0" applyFont="1" applyBorder="1" applyAlignment="1"/>
    <xf numFmtId="0" fontId="3" fillId="0" borderId="4" xfId="0" applyFont="1" applyBorder="1" applyAlignment="1"/>
    <xf numFmtId="0" fontId="3" fillId="4" borderId="5" xfId="0" applyFont="1" applyFill="1" applyBorder="1" applyAlignment="1"/>
    <xf numFmtId="0" fontId="3" fillId="4" borderId="6" xfId="0" applyFont="1" applyFill="1" applyBorder="1" applyAlignment="1"/>
    <xf numFmtId="0" fontId="3" fillId="4" borderId="4" xfId="0" applyFont="1" applyFill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24" xfId="0" applyFont="1" applyBorder="1" applyAlignment="1"/>
    <xf numFmtId="0" fontId="3" fillId="0" borderId="0" xfId="0" applyFont="1" applyAlignment="1"/>
    <xf numFmtId="0" fontId="3" fillId="0" borderId="2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923924</xdr:colOff>
      <xdr:row>1</xdr:row>
      <xdr:rowOff>227288</xdr:rowOff>
    </xdr:to>
    <xdr:pic>
      <xdr:nvPicPr>
        <xdr:cNvPr id="2" name="Picture 1" descr="Verisure">
          <a:extLst>
            <a:ext uri="{FF2B5EF4-FFF2-40B4-BE49-F238E27FC236}">
              <a16:creationId xmlns:a16="http://schemas.microsoft.com/office/drawing/2014/main" id="{7B924435-DB72-459C-BF21-1B47CE6D0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3924" cy="484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14"/>
  <sheetViews>
    <sheetView showGridLines="0" tabSelected="1" workbookViewId="0">
      <pane xSplit="3" ySplit="7" topLeftCell="AB8" activePane="bottomRight" state="frozen"/>
      <selection pane="bottomRight" activeCell="C2" sqref="C2"/>
      <selection pane="bottomLeft" activeCell="A8" sqref="A8"/>
      <selection pane="topRight" activeCell="D1" sqref="D1"/>
    </sheetView>
  </sheetViews>
  <sheetFormatPr defaultColWidth="9.140625" defaultRowHeight="15" customHeight="1"/>
  <cols>
    <col min="1" max="1" width="11.28515625" customWidth="1"/>
    <col min="2" max="2" width="21.85546875" customWidth="1"/>
    <col min="3" max="3" width="42.140625" customWidth="1"/>
    <col min="4" max="4" width="10.85546875" style="11" hidden="1" customWidth="1"/>
    <col min="5" max="5" width="12.42578125" style="11" hidden="1" customWidth="1"/>
    <col min="6" max="6" width="12.140625" style="11" hidden="1" customWidth="1"/>
    <col min="7" max="7" width="14.7109375" style="11" hidden="1" customWidth="1"/>
    <col min="8" max="8" width="12.42578125" hidden="1" customWidth="1"/>
    <col min="9" max="9" width="9.7109375" hidden="1" customWidth="1"/>
    <col min="10" max="11" width="7.85546875" hidden="1" customWidth="1"/>
    <col min="12" max="12" width="15.140625" hidden="1" customWidth="1"/>
    <col min="13" max="13" width="5.140625" hidden="1" customWidth="1"/>
    <col min="14" max="14" width="7.85546875" hidden="1" customWidth="1"/>
    <col min="15" max="15" width="8.7109375" hidden="1" customWidth="1"/>
    <col min="16" max="16" width="22.28515625" hidden="1" customWidth="1"/>
    <col min="17" max="17" width="17.42578125" hidden="1" customWidth="1"/>
    <col min="18" max="18" width="19.42578125" hidden="1" customWidth="1"/>
    <col min="19" max="19" width="12.5703125" hidden="1" customWidth="1"/>
    <col min="20" max="20" width="8" hidden="1" customWidth="1"/>
    <col min="21" max="21" width="13.5703125" hidden="1" customWidth="1"/>
    <col min="22" max="22" width="12.5703125" hidden="1" customWidth="1"/>
    <col min="23" max="23" width="13.5703125" hidden="1" customWidth="1"/>
    <col min="24" max="24" width="18.28515625" hidden="1" customWidth="1"/>
    <col min="25" max="25" width="13.42578125" hidden="1" customWidth="1"/>
    <col min="26" max="26" width="14.42578125" hidden="1" customWidth="1"/>
    <col min="27" max="27" width="21.85546875" hidden="1" customWidth="1"/>
    <col min="28" max="28" width="9.28515625" customWidth="1"/>
    <col min="29" max="29" width="7.85546875" bestFit="1" customWidth="1"/>
    <col min="30" max="30" width="8.7109375" bestFit="1" customWidth="1"/>
    <col min="31" max="31" width="8.5703125" customWidth="1"/>
    <col min="32" max="32" width="9.7109375" bestFit="1" customWidth="1"/>
    <col min="33" max="34" width="9.7109375" customWidth="1"/>
    <col min="45" max="45" width="18.28515625" customWidth="1"/>
    <col min="51" max="51" width="9.7109375" bestFit="1" customWidth="1"/>
  </cols>
  <sheetData>
    <row r="1" spans="1:54" ht="18.75">
      <c r="C1" s="1" t="s">
        <v>0</v>
      </c>
      <c r="AC1" s="73"/>
      <c r="AD1" s="73"/>
      <c r="AE1" s="73"/>
    </row>
    <row r="2" spans="1:54" ht="18.75">
      <c r="C2" s="1"/>
      <c r="D2" s="153">
        <v>45352</v>
      </c>
      <c r="E2" s="153"/>
      <c r="F2" s="153"/>
      <c r="G2" s="153"/>
      <c r="I2" s="153">
        <v>45383</v>
      </c>
      <c r="J2" s="153"/>
      <c r="K2" s="153"/>
      <c r="L2" s="153"/>
      <c r="R2" s="153">
        <v>45413</v>
      </c>
      <c r="S2" s="153"/>
      <c r="T2" s="153"/>
      <c r="U2" s="153"/>
      <c r="V2" s="10"/>
      <c r="W2" s="11"/>
      <c r="X2" s="11"/>
      <c r="Y2" s="11"/>
      <c r="Z2" s="11"/>
      <c r="AC2" s="73"/>
      <c r="AD2" s="73"/>
      <c r="AE2" s="73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X2" s="11"/>
      <c r="AY2" s="11"/>
      <c r="AZ2" s="11"/>
      <c r="BA2" s="11"/>
    </row>
    <row r="3" spans="1:54">
      <c r="C3" s="4"/>
      <c r="D3" s="12" t="s">
        <v>1</v>
      </c>
      <c r="E3" s="12" t="s">
        <v>2</v>
      </c>
      <c r="F3" s="12" t="s">
        <v>3</v>
      </c>
      <c r="G3" s="12" t="s">
        <v>4</v>
      </c>
      <c r="I3" s="12" t="s">
        <v>1</v>
      </c>
      <c r="J3" s="12" t="s">
        <v>2</v>
      </c>
      <c r="K3" s="12" t="s">
        <v>3</v>
      </c>
      <c r="L3" s="12" t="s">
        <v>4</v>
      </c>
      <c r="R3" s="12" t="s">
        <v>1</v>
      </c>
      <c r="S3" s="12" t="s">
        <v>2</v>
      </c>
      <c r="T3" s="12" t="s">
        <v>3</v>
      </c>
      <c r="U3" s="12" t="s">
        <v>4</v>
      </c>
      <c r="V3" s="12" t="s">
        <v>5</v>
      </c>
      <c r="W3" s="11"/>
      <c r="X3" s="10">
        <v>45413</v>
      </c>
      <c r="Y3" s="10">
        <v>45383</v>
      </c>
      <c r="Z3" s="11"/>
      <c r="AA3" s="10">
        <v>45413</v>
      </c>
      <c r="AB3" s="10"/>
      <c r="AC3" s="74">
        <v>45292</v>
      </c>
      <c r="AD3" s="74">
        <v>45323</v>
      </c>
      <c r="AE3" s="74">
        <v>45352</v>
      </c>
      <c r="AF3" s="10">
        <v>45383</v>
      </c>
      <c r="AG3" s="10">
        <v>45413</v>
      </c>
      <c r="AH3" s="10">
        <v>45444</v>
      </c>
      <c r="AI3" s="10">
        <v>45474</v>
      </c>
      <c r="AJ3" s="10">
        <v>45505</v>
      </c>
      <c r="AK3" s="10">
        <v>45536</v>
      </c>
      <c r="AL3" s="96">
        <v>45566</v>
      </c>
      <c r="AM3" s="96">
        <v>45597</v>
      </c>
      <c r="AN3" s="96">
        <v>45627</v>
      </c>
      <c r="AO3" s="96">
        <v>45658</v>
      </c>
      <c r="AP3" s="96">
        <v>45689</v>
      </c>
      <c r="AQ3" s="96">
        <v>45717</v>
      </c>
      <c r="AR3" s="96">
        <v>45748</v>
      </c>
      <c r="AT3" s="95" t="s">
        <v>1</v>
      </c>
      <c r="AU3" s="95" t="s">
        <v>2</v>
      </c>
      <c r="AV3" s="95" t="s">
        <v>3</v>
      </c>
      <c r="AW3" s="95" t="s">
        <v>4</v>
      </c>
      <c r="AX3" s="11"/>
      <c r="AY3" s="96">
        <v>45809</v>
      </c>
      <c r="AZ3" s="96">
        <v>45778</v>
      </c>
      <c r="BA3" s="11"/>
      <c r="BB3" s="96">
        <v>45809</v>
      </c>
    </row>
    <row r="4" spans="1:54">
      <c r="C4" s="4"/>
      <c r="D4" s="14" t="s">
        <v>6</v>
      </c>
      <c r="E4" s="14" t="s">
        <v>7</v>
      </c>
      <c r="F4" s="14" t="s">
        <v>8</v>
      </c>
      <c r="G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R4" s="14" t="s">
        <v>14</v>
      </c>
      <c r="S4" s="14" t="s">
        <v>15</v>
      </c>
      <c r="T4" s="14" t="s">
        <v>16</v>
      </c>
      <c r="U4" s="14" t="s">
        <v>17</v>
      </c>
      <c r="V4" s="14" t="s">
        <v>18</v>
      </c>
      <c r="W4" s="11"/>
      <c r="X4" s="14" t="s">
        <v>19</v>
      </c>
      <c r="Y4" s="14" t="s">
        <v>20</v>
      </c>
      <c r="Z4" s="11"/>
      <c r="AA4" s="13" t="s">
        <v>21</v>
      </c>
      <c r="AB4" s="13"/>
      <c r="AC4" s="73"/>
      <c r="AD4" s="73"/>
      <c r="AE4" s="73"/>
      <c r="AF4" s="14"/>
      <c r="AI4" s="14"/>
      <c r="AJ4" s="14"/>
      <c r="AL4" s="97"/>
      <c r="AM4" s="97"/>
      <c r="AN4" s="97"/>
      <c r="AP4" s="97"/>
      <c r="AQ4" s="97"/>
      <c r="AR4" s="97"/>
      <c r="AT4" s="97" t="s">
        <v>22</v>
      </c>
      <c r="AU4" s="97" t="s">
        <v>23</v>
      </c>
      <c r="AV4" s="97" t="s">
        <v>24</v>
      </c>
      <c r="AW4" s="97" t="s">
        <v>25</v>
      </c>
      <c r="AX4" s="11"/>
      <c r="AY4" s="97" t="s">
        <v>20</v>
      </c>
      <c r="AZ4" s="97" t="s">
        <v>26</v>
      </c>
      <c r="BA4" s="11"/>
      <c r="BB4" s="98" t="s">
        <v>21</v>
      </c>
    </row>
    <row r="5" spans="1:54">
      <c r="C5" s="4"/>
      <c r="D5" s="14"/>
      <c r="E5" s="14"/>
      <c r="F5" s="14"/>
      <c r="G5" s="14"/>
      <c r="I5" s="14"/>
      <c r="J5" s="14"/>
      <c r="K5" s="14"/>
      <c r="L5" s="14"/>
      <c r="R5" s="14"/>
      <c r="S5" s="14"/>
      <c r="T5" s="14"/>
      <c r="U5" s="14"/>
      <c r="V5" s="14"/>
      <c r="W5" s="11"/>
      <c r="X5" s="11" t="s">
        <v>27</v>
      </c>
      <c r="Y5" s="11" t="s">
        <v>28</v>
      </c>
      <c r="Z5" s="11"/>
      <c r="AA5" s="14"/>
      <c r="AB5" s="14"/>
      <c r="AC5" s="73"/>
      <c r="AD5" s="73"/>
      <c r="AE5" s="73"/>
      <c r="AF5" s="11"/>
      <c r="AI5" s="11"/>
      <c r="AJ5" s="11"/>
      <c r="AL5" s="11"/>
      <c r="AM5" s="11"/>
      <c r="AN5" s="11"/>
      <c r="AP5" s="11"/>
      <c r="AQ5" s="11"/>
      <c r="AR5" s="11"/>
      <c r="AT5" s="97"/>
      <c r="AU5" s="97"/>
      <c r="AV5" s="97"/>
      <c r="AW5" s="97"/>
      <c r="AX5" s="11"/>
      <c r="AY5" s="11" t="s">
        <v>27</v>
      </c>
      <c r="AZ5" s="11" t="s">
        <v>28</v>
      </c>
      <c r="BA5" s="11"/>
      <c r="BB5" s="97"/>
    </row>
    <row r="6" spans="1:54">
      <c r="C6" s="4"/>
      <c r="D6" s="15"/>
      <c r="E6" s="15"/>
      <c r="F6" s="15"/>
      <c r="G6" s="15"/>
      <c r="I6" s="15"/>
      <c r="J6" s="15"/>
      <c r="K6" s="15"/>
      <c r="L6" s="15"/>
      <c r="R6" s="15"/>
      <c r="S6" s="15"/>
      <c r="T6" s="15"/>
      <c r="U6" s="15"/>
      <c r="V6" s="15"/>
      <c r="W6" s="14" t="s">
        <v>29</v>
      </c>
      <c r="X6" s="15">
        <v>145181</v>
      </c>
      <c r="Y6" s="15">
        <v>144507</v>
      </c>
      <c r="Z6" s="11"/>
      <c r="AA6" s="15">
        <v>146012</v>
      </c>
      <c r="AB6" s="15"/>
      <c r="AC6" s="75">
        <v>142198</v>
      </c>
      <c r="AD6" s="75">
        <v>142636</v>
      </c>
      <c r="AE6" s="75">
        <v>143303</v>
      </c>
      <c r="AF6" s="15">
        <v>144507</v>
      </c>
      <c r="AG6" s="70">
        <v>145181</v>
      </c>
      <c r="AH6" s="70">
        <v>145791</v>
      </c>
      <c r="AI6" s="70">
        <v>147141</v>
      </c>
      <c r="AJ6" s="70">
        <v>148691</v>
      </c>
      <c r="AK6" s="70">
        <v>149161</v>
      </c>
      <c r="AL6" s="100">
        <v>149592</v>
      </c>
      <c r="AM6" s="100">
        <v>149767</v>
      </c>
      <c r="AN6" s="100">
        <v>150884</v>
      </c>
      <c r="AO6" s="100">
        <v>151236</v>
      </c>
      <c r="AP6" s="100">
        <v>151996</v>
      </c>
      <c r="AQ6" s="100">
        <v>152674</v>
      </c>
      <c r="AR6" s="100">
        <v>152674</v>
      </c>
      <c r="AT6" s="99"/>
      <c r="AU6" s="99"/>
      <c r="AV6" s="99"/>
      <c r="AW6" s="99"/>
      <c r="AX6" s="97" t="s">
        <v>29</v>
      </c>
      <c r="AY6" s="100">
        <v>154436</v>
      </c>
      <c r="AZ6" s="100">
        <v>153571</v>
      </c>
      <c r="BA6" s="11"/>
      <c r="BB6" s="99">
        <v>155221</v>
      </c>
    </row>
    <row r="7" spans="1:54">
      <c r="I7" s="11"/>
      <c r="J7" s="11"/>
      <c r="K7" s="11"/>
      <c r="L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73"/>
      <c r="AD7" s="73"/>
      <c r="AE7" s="73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ht="15" customHeight="1">
      <c r="A8" s="163" t="s">
        <v>30</v>
      </c>
      <c r="B8" s="151" t="s">
        <v>31</v>
      </c>
      <c r="C8" s="5" t="s">
        <v>32</v>
      </c>
      <c r="D8" s="37">
        <v>20287</v>
      </c>
      <c r="E8" s="31">
        <v>47044</v>
      </c>
      <c r="F8" s="31">
        <v>45242</v>
      </c>
      <c r="G8" s="38">
        <v>48124</v>
      </c>
      <c r="I8" s="37">
        <v>47029</v>
      </c>
      <c r="J8" s="31">
        <v>46923</v>
      </c>
      <c r="K8" s="31">
        <v>51068</v>
      </c>
      <c r="L8" s="31">
        <v>45856</v>
      </c>
      <c r="R8" s="39">
        <v>34016</v>
      </c>
      <c r="S8" s="38">
        <v>51056</v>
      </c>
      <c r="T8" s="38">
        <v>48440</v>
      </c>
      <c r="U8" s="38">
        <v>47676</v>
      </c>
      <c r="V8" s="38">
        <v>32933</v>
      </c>
      <c r="W8" s="11"/>
      <c r="X8" s="39">
        <v>214121</v>
      </c>
      <c r="Y8" s="39">
        <v>205383</v>
      </c>
      <c r="Z8" s="11"/>
      <c r="AA8" s="25">
        <v>203100</v>
      </c>
      <c r="AB8" s="14"/>
      <c r="AC8" s="76" t="s">
        <v>33</v>
      </c>
      <c r="AD8" s="77" t="s">
        <v>33</v>
      </c>
      <c r="AE8" s="78">
        <v>208676</v>
      </c>
      <c r="AF8" s="39">
        <v>205383</v>
      </c>
      <c r="AG8" s="39">
        <v>214121</v>
      </c>
      <c r="AH8" s="39">
        <v>210128</v>
      </c>
      <c r="AI8" s="39">
        <v>211196</v>
      </c>
      <c r="AJ8" s="39">
        <v>205481</v>
      </c>
      <c r="AK8" s="39">
        <v>205041</v>
      </c>
      <c r="AL8" s="62">
        <v>220552</v>
      </c>
      <c r="AM8" s="62">
        <v>221136</v>
      </c>
      <c r="AN8" s="62">
        <v>225536</v>
      </c>
      <c r="AO8" s="62">
        <v>223995</v>
      </c>
      <c r="AP8" s="62">
        <v>195083</v>
      </c>
      <c r="AQ8" s="62">
        <v>222195</v>
      </c>
      <c r="AR8" s="62">
        <v>221858</v>
      </c>
      <c r="AT8" s="62">
        <v>50803</v>
      </c>
      <c r="AU8" s="62">
        <v>54473</v>
      </c>
      <c r="AV8" s="62">
        <v>59205</v>
      </c>
      <c r="AW8" s="62">
        <v>54776</v>
      </c>
      <c r="AX8" s="11"/>
      <c r="AY8" s="62">
        <v>232201</v>
      </c>
      <c r="AZ8" s="62">
        <v>229024</v>
      </c>
      <c r="BA8" s="11"/>
      <c r="BB8" s="63">
        <v>216737</v>
      </c>
    </row>
    <row r="9" spans="1:54">
      <c r="A9" s="164"/>
      <c r="B9" s="151"/>
      <c r="C9" s="6" t="s">
        <v>34</v>
      </c>
      <c r="D9" s="18">
        <v>19039</v>
      </c>
      <c r="E9" s="19">
        <v>15979</v>
      </c>
      <c r="F9" s="19">
        <v>18219</v>
      </c>
      <c r="G9" s="20">
        <v>17370</v>
      </c>
      <c r="I9" s="18">
        <v>17236</v>
      </c>
      <c r="J9" s="19">
        <v>17064</v>
      </c>
      <c r="K9" s="19">
        <v>18145</v>
      </c>
      <c r="L9" s="19">
        <v>16363</v>
      </c>
      <c r="R9" s="26">
        <v>11763</v>
      </c>
      <c r="S9" s="20">
        <v>17312</v>
      </c>
      <c r="T9" s="20">
        <v>16928</v>
      </c>
      <c r="U9" s="38">
        <v>17331</v>
      </c>
      <c r="V9" s="38">
        <v>12220</v>
      </c>
      <c r="W9" s="11"/>
      <c r="X9" s="39">
        <v>75554</v>
      </c>
      <c r="Y9" s="62">
        <v>74104</v>
      </c>
      <c r="Z9" s="11"/>
      <c r="AA9" s="26">
        <v>72073</v>
      </c>
      <c r="AB9" s="14"/>
      <c r="AC9" s="76" t="s">
        <v>33</v>
      </c>
      <c r="AD9" s="79" t="s">
        <v>33</v>
      </c>
      <c r="AE9" s="80">
        <v>73910</v>
      </c>
      <c r="AF9" s="62">
        <v>74104</v>
      </c>
      <c r="AG9" s="39">
        <v>75554</v>
      </c>
      <c r="AH9" s="39">
        <v>74787</v>
      </c>
      <c r="AI9" s="39">
        <v>75559</v>
      </c>
      <c r="AJ9" s="39">
        <v>75435</v>
      </c>
      <c r="AK9" s="39">
        <v>61221</v>
      </c>
      <c r="AL9" s="62">
        <v>61234</v>
      </c>
      <c r="AM9" s="62">
        <v>59697</v>
      </c>
      <c r="AN9" s="62">
        <v>61421</v>
      </c>
      <c r="AO9" s="62">
        <v>58262</v>
      </c>
      <c r="AP9" s="62">
        <v>50052</v>
      </c>
      <c r="AQ9" s="62">
        <v>58143</v>
      </c>
      <c r="AR9" s="62">
        <v>59454</v>
      </c>
      <c r="AT9" s="101">
        <v>13643</v>
      </c>
      <c r="AU9" s="101">
        <v>14001</v>
      </c>
      <c r="AV9" s="101">
        <v>14841</v>
      </c>
      <c r="AW9" s="101">
        <v>14733</v>
      </c>
      <c r="AX9" s="11"/>
      <c r="AY9" s="101">
        <v>60353</v>
      </c>
      <c r="AZ9" s="62">
        <v>60962</v>
      </c>
      <c r="BA9" s="11"/>
      <c r="BB9" s="101">
        <v>60612</v>
      </c>
    </row>
    <row r="10" spans="1:54">
      <c r="A10" s="164"/>
      <c r="B10" s="151"/>
      <c r="C10" s="146" t="s">
        <v>35</v>
      </c>
      <c r="D10" s="21">
        <v>0.63</v>
      </c>
      <c r="E10" s="22">
        <v>0.69</v>
      </c>
      <c r="F10" s="22">
        <v>0.65</v>
      </c>
      <c r="G10" s="22">
        <v>0.6391</v>
      </c>
      <c r="I10" s="21">
        <v>0.63349999999999995</v>
      </c>
      <c r="J10" s="22">
        <v>0.63629999999999998</v>
      </c>
      <c r="K10" s="22">
        <v>0.64470000000000005</v>
      </c>
      <c r="L10" s="22">
        <v>0.64319999999999999</v>
      </c>
      <c r="R10" s="21">
        <v>0.6542</v>
      </c>
      <c r="S10" s="22">
        <v>0.66090000000000004</v>
      </c>
      <c r="T10" s="22">
        <v>0.65049999999999997</v>
      </c>
      <c r="U10" s="22">
        <v>0.63649999999999995</v>
      </c>
      <c r="V10" s="68">
        <v>0.62890000000000001</v>
      </c>
      <c r="W10" s="11"/>
      <c r="X10" s="65">
        <v>0.64710000000000001</v>
      </c>
      <c r="Y10" s="43">
        <v>0.63919999999999999</v>
      </c>
      <c r="Z10" s="11"/>
      <c r="AA10" s="21">
        <v>0.63</v>
      </c>
      <c r="AB10" s="28"/>
      <c r="AC10" s="81" t="s">
        <v>33</v>
      </c>
      <c r="AD10" s="82" t="s">
        <v>33</v>
      </c>
      <c r="AE10" s="82">
        <v>0.64580000000000004</v>
      </c>
      <c r="AF10" s="43">
        <v>0.63919999999999999</v>
      </c>
      <c r="AG10" s="43">
        <v>0.64710000000000001</v>
      </c>
      <c r="AH10" s="43">
        <v>0.64410000000000001</v>
      </c>
      <c r="AI10" s="43">
        <v>0.64219999999999999</v>
      </c>
      <c r="AJ10" s="43">
        <v>0.63290000000000002</v>
      </c>
      <c r="AK10" s="43">
        <v>0.70140000000000002</v>
      </c>
      <c r="AL10" s="103">
        <v>0.72240000000000004</v>
      </c>
      <c r="AM10" s="103">
        <v>0.73</v>
      </c>
      <c r="AN10" s="103">
        <v>0.72770000000000001</v>
      </c>
      <c r="AO10" s="103">
        <v>0.7399</v>
      </c>
      <c r="AP10" s="103">
        <v>0.74339999999999995</v>
      </c>
      <c r="AQ10" s="103">
        <v>0.73829999999999996</v>
      </c>
      <c r="AR10" s="103">
        <v>0.73199999999999998</v>
      </c>
      <c r="AT10" s="43">
        <v>0.73150000000000004</v>
      </c>
      <c r="AU10" s="43">
        <v>0.74299999999999999</v>
      </c>
      <c r="AV10" s="43">
        <v>0.74929999999999997</v>
      </c>
      <c r="AW10" s="43">
        <v>0.73099999999999998</v>
      </c>
      <c r="AX10" s="11"/>
      <c r="AY10" s="43">
        <v>0.74009999999999998</v>
      </c>
      <c r="AZ10" s="103">
        <v>0.73380000000000001</v>
      </c>
      <c r="BA10" s="11"/>
      <c r="BB10" s="43">
        <v>0.72</v>
      </c>
    </row>
    <row r="11" spans="1:54">
      <c r="A11" s="164"/>
      <c r="B11" s="152"/>
      <c r="C11" s="144" t="s">
        <v>36</v>
      </c>
      <c r="I11" s="11"/>
      <c r="J11" s="11"/>
      <c r="K11" s="11"/>
      <c r="L11" s="11"/>
      <c r="R11" s="11"/>
      <c r="S11" s="11"/>
      <c r="T11" s="11"/>
      <c r="U11" s="11"/>
      <c r="V11" s="30"/>
      <c r="W11" s="11"/>
      <c r="X11" s="30"/>
      <c r="Y11" s="11"/>
      <c r="Z11" s="11"/>
      <c r="AA11" s="11"/>
      <c r="AB11" s="11"/>
      <c r="AC11" s="81" t="s">
        <v>33</v>
      </c>
      <c r="AD11" s="82" t="s">
        <v>33</v>
      </c>
      <c r="AE11" s="81" t="s">
        <v>33</v>
      </c>
      <c r="AF11" s="82" t="s">
        <v>33</v>
      </c>
      <c r="AG11" s="81" t="s">
        <v>33</v>
      </c>
      <c r="AH11" s="82" t="s">
        <v>33</v>
      </c>
      <c r="AI11" s="81" t="s">
        <v>33</v>
      </c>
      <c r="AJ11" s="82" t="s">
        <v>33</v>
      </c>
      <c r="AK11" s="81" t="s">
        <v>33</v>
      </c>
      <c r="AL11" s="82" t="s">
        <v>33</v>
      </c>
      <c r="AM11" s="81" t="s">
        <v>33</v>
      </c>
      <c r="AN11" s="82" t="s">
        <v>33</v>
      </c>
      <c r="AO11" s="81" t="s">
        <v>33</v>
      </c>
      <c r="AP11" s="82" t="s">
        <v>33</v>
      </c>
      <c r="AQ11" s="81" t="s">
        <v>33</v>
      </c>
      <c r="AR11" s="82" t="s">
        <v>33</v>
      </c>
      <c r="AT11" s="101">
        <v>1385</v>
      </c>
      <c r="AU11" s="101">
        <v>1228</v>
      </c>
      <c r="AV11" s="101">
        <v>1416</v>
      </c>
      <c r="AW11" s="101">
        <v>1119</v>
      </c>
      <c r="AX11" s="11"/>
      <c r="AY11" s="101">
        <v>5518</v>
      </c>
      <c r="AZ11" s="103" t="s">
        <v>33</v>
      </c>
      <c r="BA11" s="11"/>
      <c r="BB11" s="43" t="s">
        <v>33</v>
      </c>
    </row>
    <row r="12" spans="1:54">
      <c r="A12" s="149"/>
      <c r="D12" s="23">
        <v>0.82399999999999995</v>
      </c>
      <c r="E12" s="23">
        <v>0.85299999999999998</v>
      </c>
      <c r="F12" s="23">
        <v>0.8589</v>
      </c>
      <c r="G12" s="23">
        <v>0.88429999999999997</v>
      </c>
      <c r="I12" s="23">
        <v>0.8488</v>
      </c>
      <c r="J12" s="23">
        <v>0.85629999999999995</v>
      </c>
      <c r="K12" s="23">
        <v>0.85580000000000001</v>
      </c>
      <c r="L12" s="23">
        <v>0.89190000000000003</v>
      </c>
      <c r="R12" s="48">
        <v>0.89570000000000005</v>
      </c>
      <c r="S12" s="23">
        <v>0.88100000000000001</v>
      </c>
      <c r="T12" s="23">
        <v>0.89790000000000003</v>
      </c>
      <c r="U12" s="23">
        <v>0.90039999999999998</v>
      </c>
      <c r="V12" s="44">
        <v>0.91090000000000004</v>
      </c>
      <c r="W12" s="11"/>
      <c r="X12" s="64">
        <v>0.89610000000000001</v>
      </c>
      <c r="Y12" s="23">
        <v>0.86419999999999997</v>
      </c>
      <c r="Z12" s="11"/>
      <c r="AA12" s="25" t="s">
        <v>37</v>
      </c>
      <c r="AB12" s="14"/>
      <c r="AT12" s="11"/>
      <c r="AU12" s="11"/>
      <c r="AV12" s="11"/>
      <c r="AW12" s="11"/>
      <c r="AX12" s="11"/>
      <c r="AY12" s="11"/>
      <c r="AZ12" s="30"/>
      <c r="BA12" s="11"/>
      <c r="BB12" s="11"/>
    </row>
    <row r="13" spans="1:54">
      <c r="A13" s="164"/>
      <c r="B13" s="151" t="s">
        <v>38</v>
      </c>
      <c r="C13" s="165" t="s">
        <v>39</v>
      </c>
      <c r="D13" s="22">
        <v>7.1099999999999997E-2</v>
      </c>
      <c r="E13" s="22">
        <v>4.8800000000000003E-2</v>
      </c>
      <c r="F13" s="22">
        <v>3.7999999999999999E-2</v>
      </c>
      <c r="G13" s="22">
        <v>2.1899999999999999E-2</v>
      </c>
      <c r="I13" s="22">
        <v>3.9699999999999999E-2</v>
      </c>
      <c r="J13" s="22">
        <v>3.8899999999999997E-2</v>
      </c>
      <c r="K13" s="22">
        <v>4.2299999999999997E-2</v>
      </c>
      <c r="L13" s="22">
        <v>1.9900000000000001E-2</v>
      </c>
      <c r="R13" s="46">
        <v>1.9300000000000001E-2</v>
      </c>
      <c r="S13" s="22">
        <v>2.5399999999999999E-2</v>
      </c>
      <c r="T13" s="22">
        <v>1.46E-2</v>
      </c>
      <c r="U13" s="22">
        <v>1.15E-2</v>
      </c>
      <c r="V13" s="68">
        <v>7.9000000000000008E-3</v>
      </c>
      <c r="W13" s="11"/>
      <c r="X13" s="65">
        <v>1.6199999999999999E-2</v>
      </c>
      <c r="Y13" s="22">
        <v>3.4700000000000002E-2</v>
      </c>
      <c r="Z13" s="11"/>
      <c r="AA13" s="26" t="s">
        <v>40</v>
      </c>
      <c r="AB13" s="14"/>
      <c r="AC13" s="83">
        <v>0.84970000000000001</v>
      </c>
      <c r="AD13" s="84">
        <v>0.89729999999999999</v>
      </c>
      <c r="AE13" s="84">
        <v>0.8649</v>
      </c>
      <c r="AF13" s="23">
        <v>0.86419999999999997</v>
      </c>
      <c r="AG13" s="69">
        <v>0.89610000000000001</v>
      </c>
      <c r="AH13" s="69">
        <v>0.90649999999999997</v>
      </c>
      <c r="AI13" s="69">
        <v>0.91720000000000002</v>
      </c>
      <c r="AJ13" s="69">
        <v>0.90080000000000005</v>
      </c>
      <c r="AK13" s="69">
        <v>0.90590000000000004</v>
      </c>
      <c r="AL13" s="106">
        <v>0.89219999999999999</v>
      </c>
      <c r="AM13" s="106">
        <v>0.90329999999999999</v>
      </c>
      <c r="AN13" s="106">
        <v>0.9234</v>
      </c>
      <c r="AO13" s="106">
        <v>0.94369999999999998</v>
      </c>
      <c r="AP13" s="145">
        <v>0.9466</v>
      </c>
      <c r="AQ13" s="106">
        <v>0.92949999999999999</v>
      </c>
      <c r="AR13" s="106">
        <v>0.93300000000000005</v>
      </c>
      <c r="AT13" s="104">
        <v>0.93989999999999996</v>
      </c>
      <c r="AU13" s="104">
        <v>0.92720000000000002</v>
      </c>
      <c r="AV13" s="104">
        <v>0.92720000000000002</v>
      </c>
      <c r="AW13" s="104">
        <v>0.92920000000000003</v>
      </c>
      <c r="AX13" s="11"/>
      <c r="AY13" s="104">
        <v>0.9284</v>
      </c>
      <c r="AZ13" s="106">
        <v>0.9476</v>
      </c>
      <c r="BA13" s="11"/>
      <c r="BB13" s="63" t="s">
        <v>37</v>
      </c>
    </row>
    <row r="14" spans="1:54">
      <c r="A14" s="164"/>
      <c r="B14" s="151"/>
      <c r="C14" s="166" t="s">
        <v>41</v>
      </c>
      <c r="I14" s="11"/>
      <c r="J14" s="11"/>
      <c r="K14" s="11"/>
      <c r="L14" s="11"/>
      <c r="R14" s="11"/>
      <c r="S14" s="11"/>
      <c r="T14" s="11"/>
      <c r="U14" s="11"/>
      <c r="V14" s="30"/>
      <c r="W14" s="11"/>
      <c r="X14" s="30"/>
      <c r="Y14" s="11"/>
      <c r="Z14" s="11"/>
      <c r="AA14" s="11"/>
      <c r="AB14" s="11"/>
      <c r="AC14" s="81">
        <v>6.2199999999999998E-2</v>
      </c>
      <c r="AD14" s="82">
        <v>0.03</v>
      </c>
      <c r="AE14" s="82">
        <v>3.6200000000000003E-2</v>
      </c>
      <c r="AF14" s="22">
        <v>3.4700000000000002E-2</v>
      </c>
      <c r="AG14" s="69">
        <v>1.6199999999999999E-2</v>
      </c>
      <c r="AH14" s="43">
        <v>1.55E-2</v>
      </c>
      <c r="AI14" s="43">
        <v>8.9999999999999993E-3</v>
      </c>
      <c r="AJ14" s="43">
        <v>1.6500000000000001E-2</v>
      </c>
      <c r="AK14" s="43">
        <v>4.8599999999999997E-2</v>
      </c>
      <c r="AL14" s="103">
        <v>6.7699999999999996E-2</v>
      </c>
      <c r="AM14" s="103">
        <v>4.82E-2</v>
      </c>
      <c r="AN14" s="103">
        <v>2.69E-2</v>
      </c>
      <c r="AO14" s="103">
        <v>1.5900000000000001E-2</v>
      </c>
      <c r="AP14" s="103">
        <v>1.4200000000000001E-2</v>
      </c>
      <c r="AQ14" s="103">
        <v>1.9699999999999999E-2</v>
      </c>
      <c r="AR14" s="103">
        <v>2.01E-2</v>
      </c>
      <c r="AT14" s="104">
        <v>1.7999999999999999E-2</v>
      </c>
      <c r="AU14" s="104">
        <v>1.9900000000000001E-2</v>
      </c>
      <c r="AV14" s="104">
        <v>2.2499999999999999E-2</v>
      </c>
      <c r="AW14" s="104">
        <v>1.9699999999999999E-2</v>
      </c>
      <c r="AX14" s="11"/>
      <c r="AY14" s="104">
        <v>2.24E-2</v>
      </c>
      <c r="AZ14" s="103">
        <v>1.55E-2</v>
      </c>
      <c r="BA14" s="11"/>
      <c r="BB14" s="101" t="s">
        <v>40</v>
      </c>
    </row>
    <row r="15" spans="1:54">
      <c r="A15" s="164"/>
      <c r="B15" s="152"/>
      <c r="C15" s="167" t="s">
        <v>42</v>
      </c>
      <c r="D15" s="27">
        <v>335</v>
      </c>
      <c r="E15" s="27">
        <v>709</v>
      </c>
      <c r="F15" s="27">
        <v>867</v>
      </c>
      <c r="G15" s="27">
        <v>883</v>
      </c>
      <c r="I15" s="27">
        <v>819</v>
      </c>
      <c r="J15" s="27">
        <v>981</v>
      </c>
      <c r="K15" s="27">
        <v>864</v>
      </c>
      <c r="L15" s="27">
        <v>715</v>
      </c>
      <c r="R15" s="47">
        <v>671</v>
      </c>
      <c r="S15" s="27">
        <v>866</v>
      </c>
      <c r="T15" s="27">
        <v>945</v>
      </c>
      <c r="U15" s="27">
        <v>964</v>
      </c>
      <c r="V15" s="38">
        <v>543</v>
      </c>
      <c r="W15" s="11"/>
      <c r="X15" s="39">
        <v>4039</v>
      </c>
      <c r="Y15" s="27">
        <v>3722</v>
      </c>
      <c r="Z15" s="11"/>
      <c r="AA15" s="16">
        <v>6437</v>
      </c>
      <c r="AB15" s="71"/>
      <c r="AC15" s="83" t="s">
        <v>33</v>
      </c>
      <c r="AD15" s="84" t="s">
        <v>33</v>
      </c>
      <c r="AE15" s="83" t="s">
        <v>33</v>
      </c>
      <c r="AF15" s="84" t="s">
        <v>33</v>
      </c>
      <c r="AG15" s="83" t="s">
        <v>33</v>
      </c>
      <c r="AH15" s="84" t="s">
        <v>33</v>
      </c>
      <c r="AI15" s="83" t="s">
        <v>33</v>
      </c>
      <c r="AJ15" s="84" t="s">
        <v>33</v>
      </c>
      <c r="AK15" s="83" t="s">
        <v>33</v>
      </c>
      <c r="AL15" s="84" t="s">
        <v>33</v>
      </c>
      <c r="AM15" s="83" t="s">
        <v>33</v>
      </c>
      <c r="AN15" s="84" t="s">
        <v>33</v>
      </c>
      <c r="AO15" s="83" t="s">
        <v>33</v>
      </c>
      <c r="AP15" s="84" t="s">
        <v>33</v>
      </c>
      <c r="AQ15" s="83" t="s">
        <v>33</v>
      </c>
      <c r="AR15" s="84" t="s">
        <v>33</v>
      </c>
      <c r="AT15" s="104">
        <v>0.92849999999999999</v>
      </c>
      <c r="AU15" s="104">
        <v>0.89410000000000001</v>
      </c>
      <c r="AV15" s="104">
        <v>0.93079999999999996</v>
      </c>
      <c r="AW15" s="104">
        <v>0.90969999999999995</v>
      </c>
      <c r="AX15" s="11"/>
      <c r="AY15" s="104">
        <v>0.91390000000000005</v>
      </c>
      <c r="AZ15" s="106" t="s">
        <v>33</v>
      </c>
      <c r="BA15" s="11"/>
      <c r="BB15" s="63" t="s">
        <v>33</v>
      </c>
    </row>
    <row r="16" spans="1:54">
      <c r="A16" s="164"/>
      <c r="B16" s="152"/>
      <c r="C16" s="168" t="s">
        <v>43</v>
      </c>
      <c r="D16" s="22">
        <v>0.89849999999999997</v>
      </c>
      <c r="E16" s="22">
        <v>0.92100000000000004</v>
      </c>
      <c r="F16" s="22">
        <v>0.9204</v>
      </c>
      <c r="G16" s="22">
        <v>0.88670000000000004</v>
      </c>
      <c r="I16" s="22">
        <v>0.89129999999999998</v>
      </c>
      <c r="J16" s="22">
        <v>0.88790000000000002</v>
      </c>
      <c r="K16" s="22">
        <v>0.89580000000000004</v>
      </c>
      <c r="L16" s="22">
        <v>0.94130000000000003</v>
      </c>
      <c r="R16" s="46">
        <v>0.92849999999999999</v>
      </c>
      <c r="S16" s="22">
        <v>0.91920000000000002</v>
      </c>
      <c r="T16" s="22">
        <v>0.96509999999999996</v>
      </c>
      <c r="U16" s="22">
        <v>0.98129999999999995</v>
      </c>
      <c r="V16" s="68">
        <v>0.99080000000000001</v>
      </c>
      <c r="W16" s="11"/>
      <c r="X16" s="65">
        <v>0.95640000000000003</v>
      </c>
      <c r="Y16" s="22">
        <v>0.90759999999999996</v>
      </c>
      <c r="Z16" s="11"/>
      <c r="AA16" s="26" t="s">
        <v>37</v>
      </c>
      <c r="AB16" s="14"/>
      <c r="AC16" s="81" t="s">
        <v>33</v>
      </c>
      <c r="AD16" s="82" t="s">
        <v>33</v>
      </c>
      <c r="AE16" s="81" t="s">
        <v>33</v>
      </c>
      <c r="AF16" s="82" t="s">
        <v>33</v>
      </c>
      <c r="AG16" s="81" t="s">
        <v>33</v>
      </c>
      <c r="AH16" s="82" t="s">
        <v>33</v>
      </c>
      <c r="AI16" s="81" t="s">
        <v>33</v>
      </c>
      <c r="AJ16" s="82" t="s">
        <v>33</v>
      </c>
      <c r="AK16" s="81" t="s">
        <v>33</v>
      </c>
      <c r="AL16" s="82" t="s">
        <v>33</v>
      </c>
      <c r="AM16" s="81" t="s">
        <v>33</v>
      </c>
      <c r="AN16" s="82" t="s">
        <v>33</v>
      </c>
      <c r="AO16" s="81" t="s">
        <v>33</v>
      </c>
      <c r="AP16" s="82" t="s">
        <v>33</v>
      </c>
      <c r="AQ16" s="81" t="s">
        <v>33</v>
      </c>
      <c r="AR16" s="82" t="s">
        <v>33</v>
      </c>
      <c r="AT16" s="69">
        <v>2.4500000000000001E-2</v>
      </c>
      <c r="AU16" s="69">
        <v>3.4200000000000001E-2</v>
      </c>
      <c r="AV16" s="69">
        <v>3.04E-2</v>
      </c>
      <c r="AW16" s="69">
        <v>2.9499999999999998E-2</v>
      </c>
      <c r="AX16" s="11"/>
      <c r="AY16" s="69">
        <v>3.1899999999999998E-2</v>
      </c>
      <c r="AZ16" s="103" t="s">
        <v>33</v>
      </c>
      <c r="BA16" s="11"/>
      <c r="BB16" s="101" t="s">
        <v>33</v>
      </c>
    </row>
    <row r="17" spans="1:54">
      <c r="A17" s="149"/>
      <c r="D17" s="28"/>
      <c r="E17" s="28"/>
      <c r="F17" s="28"/>
      <c r="G17" s="28"/>
      <c r="I17" s="28"/>
      <c r="J17" s="28"/>
      <c r="K17" s="28"/>
      <c r="L17" s="28"/>
      <c r="R17" s="28"/>
      <c r="S17" s="28"/>
      <c r="T17" s="28"/>
      <c r="U17" s="28"/>
      <c r="V17" s="67"/>
      <c r="W17" s="11"/>
      <c r="X17" s="30"/>
      <c r="Y17" s="28"/>
      <c r="Z17" s="11"/>
      <c r="AA17" s="14"/>
      <c r="AB17" s="14"/>
      <c r="AC17" s="73"/>
      <c r="AD17" s="73"/>
      <c r="AE17" s="73"/>
      <c r="AF17" s="28"/>
      <c r="AG17" s="28"/>
      <c r="AH17" s="28"/>
      <c r="AI17" s="28"/>
      <c r="AJ17" s="28"/>
      <c r="AK17" s="28"/>
      <c r="AL17" s="30"/>
      <c r="AM17" s="30"/>
      <c r="AN17" s="30"/>
      <c r="AO17" s="30"/>
      <c r="AP17" s="30"/>
      <c r="AQ17" s="30"/>
      <c r="AR17" s="30"/>
      <c r="AT17" s="11"/>
      <c r="AU17" s="11"/>
      <c r="AV17" s="11"/>
      <c r="AW17" s="11"/>
      <c r="AX17" s="11"/>
      <c r="AY17" s="11"/>
      <c r="AZ17" s="30"/>
      <c r="BA17" s="11"/>
      <c r="BB17" s="11"/>
    </row>
    <row r="18" spans="1:54">
      <c r="A18" s="149"/>
      <c r="B18" s="183" t="s">
        <v>44</v>
      </c>
      <c r="C18" s="5" t="s">
        <v>45</v>
      </c>
      <c r="D18" s="39">
        <v>33</v>
      </c>
      <c r="E18" s="38">
        <v>52</v>
      </c>
      <c r="F18" s="38">
        <v>56</v>
      </c>
      <c r="G18" s="38">
        <v>46</v>
      </c>
      <c r="I18" s="39">
        <v>95</v>
      </c>
      <c r="J18" s="38">
        <v>90</v>
      </c>
      <c r="K18" s="38">
        <v>112</v>
      </c>
      <c r="L18" s="38">
        <v>62</v>
      </c>
      <c r="R18" s="39">
        <v>38</v>
      </c>
      <c r="S18" s="38">
        <v>64</v>
      </c>
      <c r="T18" s="38">
        <v>58</v>
      </c>
      <c r="U18" s="38">
        <v>68</v>
      </c>
      <c r="V18" s="38">
        <v>59</v>
      </c>
      <c r="W18" s="11"/>
      <c r="X18" s="37">
        <v>288</v>
      </c>
      <c r="Y18" s="39">
        <v>310</v>
      </c>
      <c r="Z18" s="11"/>
      <c r="AA18" s="25" t="s">
        <v>33</v>
      </c>
      <c r="AB18" s="14"/>
      <c r="AC18" s="85">
        <v>3830</v>
      </c>
      <c r="AD18" s="78">
        <v>3767</v>
      </c>
      <c r="AE18" s="78">
        <v>3784</v>
      </c>
      <c r="AF18" s="27">
        <v>3722</v>
      </c>
      <c r="AG18" s="39">
        <v>4039</v>
      </c>
      <c r="AH18" s="39">
        <v>2291</v>
      </c>
      <c r="AI18" s="39">
        <v>4492</v>
      </c>
      <c r="AJ18" s="39">
        <v>4443</v>
      </c>
      <c r="AK18" s="39">
        <v>3727</v>
      </c>
      <c r="AL18" s="62">
        <v>3100</v>
      </c>
      <c r="AM18" s="62">
        <v>3514</v>
      </c>
      <c r="AN18" s="62">
        <v>3686</v>
      </c>
      <c r="AO18" s="62">
        <v>3073</v>
      </c>
      <c r="AP18" s="62">
        <v>2739</v>
      </c>
      <c r="AQ18" s="62">
        <v>3078</v>
      </c>
      <c r="AR18" s="62">
        <v>3074</v>
      </c>
      <c r="AT18" s="107">
        <v>554</v>
      </c>
      <c r="AU18" s="107">
        <v>567</v>
      </c>
      <c r="AV18" s="107">
        <v>570</v>
      </c>
      <c r="AW18" s="107">
        <v>547</v>
      </c>
      <c r="AX18" s="11"/>
      <c r="AY18" s="107">
        <v>2404</v>
      </c>
      <c r="AZ18" s="62">
        <v>2957</v>
      </c>
      <c r="BA18" s="11"/>
      <c r="BB18" s="114">
        <v>6670</v>
      </c>
    </row>
    <row r="19" spans="1:54">
      <c r="A19" s="149"/>
      <c r="B19" s="184"/>
      <c r="C19" s="3" t="s">
        <v>46</v>
      </c>
      <c r="D19" s="40">
        <v>38</v>
      </c>
      <c r="E19" s="36">
        <v>93</v>
      </c>
      <c r="F19" s="36">
        <v>100</v>
      </c>
      <c r="G19" s="36">
        <v>77</v>
      </c>
      <c r="I19" s="40">
        <v>90</v>
      </c>
      <c r="J19" s="36">
        <v>88</v>
      </c>
      <c r="K19" s="36">
        <v>93</v>
      </c>
      <c r="L19" s="36">
        <v>98</v>
      </c>
      <c r="R19" s="40">
        <v>68</v>
      </c>
      <c r="S19" s="36">
        <v>95</v>
      </c>
      <c r="T19" s="36">
        <v>77</v>
      </c>
      <c r="U19" s="36">
        <v>92</v>
      </c>
      <c r="V19" s="36">
        <v>83</v>
      </c>
      <c r="W19" s="57"/>
      <c r="X19" s="40">
        <f>SUM(R19:V19)</f>
        <v>415</v>
      </c>
      <c r="Y19" s="40">
        <v>389</v>
      </c>
      <c r="Z19" s="11"/>
      <c r="AA19" s="26" t="s">
        <v>33</v>
      </c>
      <c r="AB19" s="14"/>
      <c r="AC19" s="83">
        <v>0.9</v>
      </c>
      <c r="AD19" s="82">
        <v>0.92989999999999995</v>
      </c>
      <c r="AE19" s="82">
        <v>0.91249999999999998</v>
      </c>
      <c r="AF19" s="22">
        <v>0.90759999999999996</v>
      </c>
      <c r="AG19" s="69">
        <v>0.95640000000000003</v>
      </c>
      <c r="AH19" s="43">
        <v>0.97509999999999997</v>
      </c>
      <c r="AI19" s="43">
        <v>0.98399999999999999</v>
      </c>
      <c r="AJ19" s="43">
        <v>0.99080000000000001</v>
      </c>
      <c r="AK19" s="43">
        <v>0.99280000000000002</v>
      </c>
      <c r="AL19" s="103">
        <v>0.94130000000000003</v>
      </c>
      <c r="AM19" s="103">
        <v>0.9849</v>
      </c>
      <c r="AN19" s="103">
        <v>0.97799999999999998</v>
      </c>
      <c r="AO19" s="103">
        <v>0.97270000000000001</v>
      </c>
      <c r="AP19" s="103">
        <v>0.95550000000000002</v>
      </c>
      <c r="AQ19" s="103">
        <v>0.94479999999999997</v>
      </c>
      <c r="AR19" s="103">
        <v>0.92549999999999999</v>
      </c>
      <c r="AT19" s="69">
        <v>0.91520000000000001</v>
      </c>
      <c r="AU19" s="69">
        <v>0.84830000000000005</v>
      </c>
      <c r="AV19" s="69">
        <v>0.83160000000000001</v>
      </c>
      <c r="AW19" s="69">
        <v>0.85740000000000005</v>
      </c>
      <c r="AX19" s="11"/>
      <c r="AY19" s="69">
        <v>0.86360000000000003</v>
      </c>
      <c r="AZ19" s="103">
        <v>0.91479999999999995</v>
      </c>
      <c r="BA19" s="11"/>
      <c r="BB19" s="101" t="s">
        <v>37</v>
      </c>
    </row>
    <row r="20" spans="1:54">
      <c r="A20" s="149"/>
      <c r="B20" s="4"/>
      <c r="C20" s="4"/>
      <c r="D20" s="28"/>
      <c r="E20" s="28"/>
      <c r="F20" s="28"/>
      <c r="G20" s="14"/>
      <c r="I20" s="28"/>
      <c r="J20" s="28"/>
      <c r="K20" s="28"/>
      <c r="L20" s="14"/>
      <c r="R20" s="28"/>
      <c r="S20" s="28"/>
      <c r="T20" s="28"/>
      <c r="U20" s="14"/>
      <c r="V20" s="14"/>
      <c r="W20" s="11"/>
      <c r="X20" s="66"/>
      <c r="Y20" s="28"/>
      <c r="Z20" s="11"/>
      <c r="AA20" s="14"/>
      <c r="AB20" s="14"/>
      <c r="AC20" s="73"/>
      <c r="AD20" s="73"/>
      <c r="AE20" s="73"/>
      <c r="AF20" s="28"/>
      <c r="AG20" s="28"/>
      <c r="AH20" s="28"/>
      <c r="AI20" s="28"/>
      <c r="AJ20" s="28"/>
      <c r="AK20" s="28"/>
      <c r="AL20" s="112"/>
      <c r="AM20" s="112"/>
      <c r="AN20" s="112"/>
      <c r="AO20" s="112"/>
      <c r="AP20" s="112"/>
      <c r="AQ20" s="112"/>
      <c r="AR20" s="112"/>
      <c r="AT20" s="109"/>
      <c r="AU20" s="109"/>
      <c r="AV20" s="109"/>
      <c r="AW20" s="109"/>
      <c r="AX20" s="11"/>
      <c r="AY20" s="109"/>
      <c r="AZ20" s="30"/>
      <c r="BA20" s="11"/>
      <c r="BB20" s="97"/>
    </row>
    <row r="21" spans="1:54">
      <c r="A21" s="149"/>
      <c r="B21" s="185" t="s">
        <v>47</v>
      </c>
      <c r="C21" s="8" t="s">
        <v>48</v>
      </c>
      <c r="D21" s="23">
        <v>4.7300000000000002E-2</v>
      </c>
      <c r="E21" s="23">
        <v>5.4600000000000003E-2</v>
      </c>
      <c r="F21" s="23">
        <v>5.1499999999999997E-2</v>
      </c>
      <c r="G21" s="23">
        <v>6.2100000000000002E-2</v>
      </c>
      <c r="I21" s="23">
        <v>5.2900000000000003E-2</v>
      </c>
      <c r="J21" s="23">
        <v>5.3900000000000003E-2</v>
      </c>
      <c r="K21" s="23">
        <v>6.2799999999999995E-2</v>
      </c>
      <c r="L21" s="23">
        <v>4.48E-2</v>
      </c>
      <c r="R21" s="46">
        <v>5.11E-2</v>
      </c>
      <c r="S21" s="23">
        <v>5.4300000000000001E-2</v>
      </c>
      <c r="T21" s="23">
        <v>5.4899999999999997E-2</v>
      </c>
      <c r="U21" s="23">
        <v>5.7099999999999998E-2</v>
      </c>
      <c r="V21" s="44">
        <v>5.1900000000000002E-2</v>
      </c>
      <c r="W21" s="11"/>
      <c r="X21" s="64">
        <v>7.8700000000000006E-2</v>
      </c>
      <c r="Y21" s="23">
        <v>8.0600000000000005E-2</v>
      </c>
      <c r="Z21" s="11"/>
      <c r="AA21" s="16" t="s">
        <v>49</v>
      </c>
      <c r="AB21" s="71"/>
      <c r="AC21" s="85" t="s">
        <v>33</v>
      </c>
      <c r="AD21" s="78" t="s">
        <v>33</v>
      </c>
      <c r="AE21" s="78">
        <v>224</v>
      </c>
      <c r="AF21" s="39">
        <v>310</v>
      </c>
      <c r="AG21" s="39">
        <v>288</v>
      </c>
      <c r="AH21" s="39">
        <v>298</v>
      </c>
      <c r="AI21" s="39">
        <v>311</v>
      </c>
      <c r="AJ21" s="39">
        <v>374</v>
      </c>
      <c r="AK21" s="39">
        <v>347</v>
      </c>
      <c r="AL21" s="110">
        <v>283</v>
      </c>
      <c r="AM21" s="110">
        <v>263</v>
      </c>
      <c r="AN21" s="110">
        <v>299</v>
      </c>
      <c r="AO21" s="110">
        <v>264</v>
      </c>
      <c r="AP21" s="110">
        <v>218</v>
      </c>
      <c r="AQ21" s="110">
        <v>220</v>
      </c>
      <c r="AR21" s="110">
        <v>181</v>
      </c>
      <c r="AT21" s="62">
        <v>52</v>
      </c>
      <c r="AU21" s="62">
        <v>45</v>
      </c>
      <c r="AV21" s="62">
        <v>72</v>
      </c>
      <c r="AW21" s="62">
        <v>68</v>
      </c>
      <c r="AX21" s="11"/>
      <c r="AY21" s="62">
        <v>251</v>
      </c>
      <c r="AZ21" s="110">
        <v>243</v>
      </c>
      <c r="BA21" s="11"/>
      <c r="BB21" s="63" t="s">
        <v>33</v>
      </c>
    </row>
    <row r="22" spans="1:54">
      <c r="A22" s="149"/>
      <c r="B22" s="186"/>
      <c r="C22" s="9" t="s">
        <v>50</v>
      </c>
      <c r="I22" s="11"/>
      <c r="J22" s="11"/>
      <c r="K22" s="11"/>
      <c r="L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85" t="s">
        <v>33</v>
      </c>
      <c r="AD22" s="78" t="s">
        <v>33</v>
      </c>
      <c r="AE22" s="85" t="s">
        <v>33</v>
      </c>
      <c r="AF22" s="78" t="s">
        <v>33</v>
      </c>
      <c r="AG22" s="85" t="s">
        <v>33</v>
      </c>
      <c r="AH22" s="78" t="s">
        <v>33</v>
      </c>
      <c r="AI22" s="85" t="s">
        <v>33</v>
      </c>
      <c r="AJ22" s="78" t="s">
        <v>33</v>
      </c>
      <c r="AK22" s="85" t="s">
        <v>33</v>
      </c>
      <c r="AL22" s="78" t="s">
        <v>33</v>
      </c>
      <c r="AM22" s="85" t="s">
        <v>33</v>
      </c>
      <c r="AN22" s="78" t="s">
        <v>33</v>
      </c>
      <c r="AO22" s="85" t="s">
        <v>33</v>
      </c>
      <c r="AP22" s="78" t="s">
        <v>33</v>
      </c>
      <c r="AQ22" s="85" t="s">
        <v>33</v>
      </c>
      <c r="AR22" s="78" t="s">
        <v>33</v>
      </c>
      <c r="AT22" s="103">
        <v>0.61539999999999995</v>
      </c>
      <c r="AU22" s="103">
        <v>0.54900000000000004</v>
      </c>
      <c r="AV22" s="103">
        <v>0.68059999999999998</v>
      </c>
      <c r="AW22" s="103">
        <v>0.55879999999999996</v>
      </c>
      <c r="AX22" s="11"/>
      <c r="AY22" s="103">
        <v>0.5857</v>
      </c>
      <c r="AZ22" s="154" t="s">
        <v>33</v>
      </c>
      <c r="BA22" s="11"/>
      <c r="BB22" s="101" t="s">
        <v>33</v>
      </c>
    </row>
    <row r="23" spans="1:54" ht="15" customHeight="1">
      <c r="A23" s="149"/>
      <c r="B23" s="187"/>
      <c r="C23" s="9" t="s">
        <v>51</v>
      </c>
      <c r="D23" s="16">
        <v>2566</v>
      </c>
      <c r="E23" s="17">
        <v>7765</v>
      </c>
      <c r="F23" s="17">
        <v>7571</v>
      </c>
      <c r="G23" s="27">
        <v>7132</v>
      </c>
      <c r="I23" s="16">
        <v>7303</v>
      </c>
      <c r="J23" s="17">
        <v>8963</v>
      </c>
      <c r="K23" s="17">
        <v>7306</v>
      </c>
      <c r="L23" s="17">
        <v>7211</v>
      </c>
      <c r="R23" s="25">
        <v>5023</v>
      </c>
      <c r="S23" s="27">
        <v>7588</v>
      </c>
      <c r="T23" s="27">
        <v>6382</v>
      </c>
      <c r="U23" s="27">
        <v>7040</v>
      </c>
      <c r="V23" s="27">
        <v>5785</v>
      </c>
      <c r="W23" s="11"/>
      <c r="X23" s="25">
        <v>32862</v>
      </c>
      <c r="Y23" s="25">
        <v>32194</v>
      </c>
      <c r="Z23" s="11"/>
      <c r="AA23" s="25">
        <v>34033</v>
      </c>
      <c r="AB23" s="14"/>
      <c r="AC23" s="86" t="s">
        <v>33</v>
      </c>
      <c r="AD23" s="80" t="s">
        <v>33</v>
      </c>
      <c r="AE23" s="80">
        <v>308</v>
      </c>
      <c r="AF23" s="40">
        <v>389</v>
      </c>
      <c r="AG23" s="39">
        <v>415</v>
      </c>
      <c r="AH23" s="39">
        <v>406</v>
      </c>
      <c r="AI23" s="39">
        <v>379</v>
      </c>
      <c r="AJ23" s="39">
        <v>378</v>
      </c>
      <c r="AK23" s="39">
        <v>380</v>
      </c>
      <c r="AL23" s="111">
        <v>424</v>
      </c>
      <c r="AM23" s="111">
        <v>405</v>
      </c>
      <c r="AN23" s="111">
        <v>411</v>
      </c>
      <c r="AO23" s="111">
        <v>409</v>
      </c>
      <c r="AP23" s="111">
        <v>367</v>
      </c>
      <c r="AQ23" s="111">
        <v>396</v>
      </c>
      <c r="AR23" s="111">
        <v>374</v>
      </c>
      <c r="AT23" s="111">
        <v>65</v>
      </c>
      <c r="AU23" s="111">
        <v>88</v>
      </c>
      <c r="AV23" s="111">
        <v>68</v>
      </c>
      <c r="AW23" s="111">
        <v>67</v>
      </c>
      <c r="AX23" s="57"/>
      <c r="AY23" s="111">
        <v>309</v>
      </c>
      <c r="AZ23" s="111">
        <v>350</v>
      </c>
      <c r="BA23" s="11"/>
      <c r="BB23" s="101" t="s">
        <v>33</v>
      </c>
    </row>
    <row r="24" spans="1:54">
      <c r="A24" s="149"/>
      <c r="B24" s="4"/>
      <c r="C24" s="4"/>
      <c r="D24" s="21">
        <v>0.74309999999999998</v>
      </c>
      <c r="E24" s="22">
        <v>0.85660000000000003</v>
      </c>
      <c r="F24" s="22">
        <v>0.90790000000000004</v>
      </c>
      <c r="G24" s="22">
        <v>0.93569999999999998</v>
      </c>
      <c r="I24" s="21">
        <v>0.8831</v>
      </c>
      <c r="J24" s="22">
        <v>0.90269999999999995</v>
      </c>
      <c r="K24" s="22">
        <v>0.85609999999999997</v>
      </c>
      <c r="L24" s="22">
        <v>0.89200000000000002</v>
      </c>
      <c r="R24" s="21">
        <v>0.8306</v>
      </c>
      <c r="S24" s="22">
        <v>0.8931</v>
      </c>
      <c r="T24" s="22">
        <v>0.92789999999999995</v>
      </c>
      <c r="U24" s="22">
        <v>0.96250000000000002</v>
      </c>
      <c r="V24" s="22">
        <v>0.94210000000000005</v>
      </c>
      <c r="W24" s="11"/>
      <c r="X24" s="21">
        <v>0.91090000000000004</v>
      </c>
      <c r="Y24" s="21">
        <v>0.88639999999999997</v>
      </c>
      <c r="Z24" s="11"/>
      <c r="AA24" s="29">
        <v>0.8</v>
      </c>
      <c r="AB24" s="33"/>
      <c r="AT24" s="109"/>
      <c r="AU24" s="109"/>
      <c r="AV24" s="109"/>
      <c r="AW24" s="109"/>
      <c r="AX24" s="11"/>
      <c r="AY24" s="109"/>
      <c r="AZ24" s="112"/>
      <c r="BA24" s="11"/>
      <c r="BB24" s="97"/>
    </row>
    <row r="25" spans="1:54">
      <c r="A25" s="150"/>
      <c r="B25" s="5" t="s">
        <v>52</v>
      </c>
      <c r="C25" s="5" t="s">
        <v>49</v>
      </c>
      <c r="D25" s="21">
        <v>0.13289999999999999</v>
      </c>
      <c r="E25" s="22">
        <v>7.9100000000000004E-2</v>
      </c>
      <c r="F25" s="22">
        <v>4.3900000000000002E-2</v>
      </c>
      <c r="G25" s="22">
        <v>4.8800000000000003E-2</v>
      </c>
      <c r="I25" s="21">
        <v>6.5199999999999994E-2</v>
      </c>
      <c r="J25" s="22">
        <v>6.0900000000000003E-2</v>
      </c>
      <c r="K25" s="22">
        <v>7.6200000000000004E-2</v>
      </c>
      <c r="L25" s="22">
        <v>5.0500000000000003E-2</v>
      </c>
      <c r="R25" s="21">
        <v>7.6200000000000004E-2</v>
      </c>
      <c r="S25" s="22">
        <v>5.11E-2</v>
      </c>
      <c r="T25" s="22">
        <v>3.27E-2</v>
      </c>
      <c r="U25" s="22">
        <v>1.8200000000000001E-2</v>
      </c>
      <c r="V25" s="22">
        <v>1.9E-2</v>
      </c>
      <c r="W25" s="11"/>
      <c r="X25" s="21">
        <v>4.1799999999999997E-2</v>
      </c>
      <c r="Y25" s="21">
        <v>6.1800000000000001E-2</v>
      </c>
      <c r="Z25" s="11"/>
      <c r="AA25" s="26" t="s">
        <v>49</v>
      </c>
      <c r="AB25" s="14"/>
      <c r="AC25" s="87">
        <v>6.8500000000000005E-2</v>
      </c>
      <c r="AD25" s="84">
        <v>6.3700000000000007E-2</v>
      </c>
      <c r="AE25" s="84">
        <v>8.1100000000000005E-2</v>
      </c>
      <c r="AF25" s="23">
        <v>8.0600000000000005E-2</v>
      </c>
      <c r="AG25" s="69">
        <v>7.8700000000000006E-2</v>
      </c>
      <c r="AH25" s="69">
        <v>7.8600000000000003E-2</v>
      </c>
      <c r="AI25" s="69">
        <v>0.08</v>
      </c>
      <c r="AJ25" s="69">
        <v>7.9200000000000007E-2</v>
      </c>
      <c r="AK25" s="69">
        <v>8.8300000000000003E-2</v>
      </c>
      <c r="AL25" s="113">
        <v>9.3399999999999997E-2</v>
      </c>
      <c r="AM25" s="113">
        <v>9.7699999999999995E-2</v>
      </c>
      <c r="AN25" s="113">
        <v>9.4500000000000001E-2</v>
      </c>
      <c r="AO25" s="113">
        <v>9.8100000000000007E-2</v>
      </c>
      <c r="AP25" s="113">
        <v>0.09</v>
      </c>
      <c r="AQ25" s="113">
        <v>8.9800000000000005E-2</v>
      </c>
      <c r="AR25" s="113">
        <v>8.9599999999999999E-2</v>
      </c>
      <c r="AT25" s="69">
        <v>3.1300000000000001E-2</v>
      </c>
      <c r="AU25" s="69">
        <v>3.3300000000000003E-2</v>
      </c>
      <c r="AV25" s="69">
        <v>3.44E-2</v>
      </c>
      <c r="AW25" s="69">
        <v>4.3499999999999997E-2</v>
      </c>
      <c r="AX25" s="11"/>
      <c r="AY25" s="69">
        <v>5.9799999999999999E-2</v>
      </c>
      <c r="AZ25" s="113">
        <v>4.82E-2</v>
      </c>
      <c r="BA25" s="11"/>
      <c r="BB25" s="114" t="s">
        <v>49</v>
      </c>
    </row>
    <row r="26" spans="1:54">
      <c r="D26" s="21">
        <v>6.0600000000000001E-2</v>
      </c>
      <c r="E26" s="22">
        <v>2.6100000000000002E-2</v>
      </c>
      <c r="F26" s="22">
        <v>1.9199999999999998E-2</v>
      </c>
      <c r="G26" s="22">
        <v>5.2499999999999998E-2</v>
      </c>
      <c r="I26" s="21">
        <v>3.9399999999999998E-2</v>
      </c>
      <c r="J26" s="22">
        <v>2.12E-2</v>
      </c>
      <c r="K26" s="22">
        <v>3.7600000000000001E-2</v>
      </c>
      <c r="L26" s="22">
        <v>2.46E-2</v>
      </c>
      <c r="R26" s="21">
        <v>3.1899999999999998E-2</v>
      </c>
      <c r="S26" s="22">
        <v>2.8000000000000001E-2</v>
      </c>
      <c r="T26" s="22">
        <v>1.37E-2</v>
      </c>
      <c r="U26" s="22">
        <v>9.1999999999999998E-3</v>
      </c>
      <c r="V26" s="22">
        <v>1.18E-2</v>
      </c>
      <c r="W26" s="11"/>
      <c r="X26" s="21">
        <v>2.1499999999999998E-2</v>
      </c>
      <c r="Y26" s="21">
        <v>3.0099999999999998E-2</v>
      </c>
      <c r="Z26" s="11"/>
      <c r="AA26" s="26" t="s">
        <v>49</v>
      </c>
      <c r="AB26" s="14"/>
      <c r="AT26" s="11"/>
      <c r="AU26" s="11"/>
      <c r="AV26" s="11"/>
      <c r="AW26" s="11"/>
      <c r="AX26" s="11"/>
      <c r="AY26" s="11"/>
      <c r="AZ26" s="11"/>
      <c r="BA26" s="11"/>
      <c r="BB26" s="11"/>
    </row>
    <row r="27" spans="1:54" ht="15" customHeight="1">
      <c r="A27" s="148" t="s">
        <v>53</v>
      </c>
      <c r="B27" s="183" t="s">
        <v>54</v>
      </c>
      <c r="C27" s="2" t="s">
        <v>55</v>
      </c>
      <c r="I27" s="11"/>
      <c r="J27" s="11"/>
      <c r="K27" s="11"/>
      <c r="L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85">
        <v>38218</v>
      </c>
      <c r="AD27" s="78">
        <v>33544</v>
      </c>
      <c r="AE27" s="78">
        <v>32117</v>
      </c>
      <c r="AF27" s="25">
        <v>32194</v>
      </c>
      <c r="AG27" s="39">
        <v>32862</v>
      </c>
      <c r="AH27" s="39">
        <v>29676</v>
      </c>
      <c r="AI27" s="39">
        <v>32806</v>
      </c>
      <c r="AJ27" s="39">
        <v>33342</v>
      </c>
      <c r="AK27" s="39">
        <v>30705</v>
      </c>
      <c r="AL27" s="63">
        <v>28955</v>
      </c>
      <c r="AM27" s="63">
        <v>28443</v>
      </c>
      <c r="AN27" s="63">
        <v>32120</v>
      </c>
      <c r="AO27" s="63">
        <v>35642</v>
      </c>
      <c r="AP27" s="63">
        <v>33231</v>
      </c>
      <c r="AQ27" s="63">
        <v>33286</v>
      </c>
      <c r="AR27" s="63">
        <v>29950</v>
      </c>
      <c r="AT27" s="63">
        <v>7162</v>
      </c>
      <c r="AU27" s="63">
        <v>7344</v>
      </c>
      <c r="AV27" s="63">
        <v>7175</v>
      </c>
      <c r="AW27" s="63">
        <v>7370</v>
      </c>
      <c r="AX27" s="11"/>
      <c r="AY27" s="63">
        <v>31397</v>
      </c>
      <c r="AZ27" s="63">
        <v>34064</v>
      </c>
      <c r="BA27" s="11"/>
      <c r="BB27" s="63">
        <v>36692</v>
      </c>
    </row>
    <row r="28" spans="1:54">
      <c r="A28" s="149"/>
      <c r="B28" s="188"/>
      <c r="C28" s="7" t="s">
        <v>46</v>
      </c>
      <c r="D28" s="27">
        <v>120</v>
      </c>
      <c r="E28" s="27">
        <v>331</v>
      </c>
      <c r="F28" s="27">
        <v>346</v>
      </c>
      <c r="G28" s="27">
        <v>310</v>
      </c>
      <c r="I28" s="27">
        <v>381</v>
      </c>
      <c r="J28" s="27">
        <v>416</v>
      </c>
      <c r="K28" s="27">
        <v>421</v>
      </c>
      <c r="L28" s="27">
        <v>485</v>
      </c>
      <c r="R28" s="47">
        <v>325</v>
      </c>
      <c r="S28" s="27">
        <v>533</v>
      </c>
      <c r="T28" s="27">
        <v>375</v>
      </c>
      <c r="U28" s="27">
        <v>450</v>
      </c>
      <c r="V28" s="27">
        <v>377</v>
      </c>
      <c r="W28" s="11"/>
      <c r="X28" s="25">
        <v>2133</v>
      </c>
      <c r="Y28" s="27">
        <v>1888</v>
      </c>
      <c r="Z28" s="11"/>
      <c r="AA28" s="25">
        <v>1971</v>
      </c>
      <c r="AB28" s="14"/>
      <c r="AC28" s="81">
        <v>0.75760000000000005</v>
      </c>
      <c r="AD28" s="82">
        <v>0.84840000000000004</v>
      </c>
      <c r="AE28" s="82">
        <v>0.88949999999999996</v>
      </c>
      <c r="AF28" s="21">
        <v>0.88639999999999997</v>
      </c>
      <c r="AG28" s="69">
        <v>0.91090000000000004</v>
      </c>
      <c r="AH28" s="43">
        <v>0.90920000000000001</v>
      </c>
      <c r="AI28" s="43">
        <v>0.78920000000000001</v>
      </c>
      <c r="AJ28" s="43">
        <v>0.81059999999999999</v>
      </c>
      <c r="AK28" s="43">
        <v>0.73340000000000005</v>
      </c>
      <c r="AL28" s="43">
        <v>0.63839999999999997</v>
      </c>
      <c r="AM28" s="43">
        <v>0.52349999999999997</v>
      </c>
      <c r="AN28" s="43">
        <v>0.68510000000000004</v>
      </c>
      <c r="AO28" s="43">
        <v>0.74429999999999996</v>
      </c>
      <c r="AP28" s="43">
        <v>0.82969999999999999</v>
      </c>
      <c r="AQ28" s="43">
        <v>0.85919999999999996</v>
      </c>
      <c r="AR28" s="43">
        <v>0.90039999999999998</v>
      </c>
      <c r="AT28" s="43">
        <v>0.9032</v>
      </c>
      <c r="AU28" s="43">
        <v>0.87</v>
      </c>
      <c r="AV28" s="43">
        <v>0.87929999999999997</v>
      </c>
      <c r="AW28" s="43">
        <v>0.78739999999999999</v>
      </c>
      <c r="AX28" s="11"/>
      <c r="AY28" s="43">
        <v>0.85050000000000003</v>
      </c>
      <c r="AZ28" s="43">
        <v>0.83589999999999998</v>
      </c>
      <c r="BA28" s="11"/>
      <c r="BB28" s="115">
        <v>0.8</v>
      </c>
    </row>
    <row r="29" spans="1:54">
      <c r="A29" s="149"/>
      <c r="B29" s="188"/>
      <c r="C29" s="7" t="s">
        <v>56</v>
      </c>
      <c r="D29" s="22">
        <v>0.93330000000000002</v>
      </c>
      <c r="E29" s="22">
        <v>0.93959999999999999</v>
      </c>
      <c r="F29" s="22">
        <v>0.78029999999999999</v>
      </c>
      <c r="G29" s="22">
        <v>0.97419999999999995</v>
      </c>
      <c r="I29" s="22">
        <v>0.83460000000000001</v>
      </c>
      <c r="J29" s="22">
        <v>0.85819999999999996</v>
      </c>
      <c r="K29" s="22">
        <v>0.70069999999999999</v>
      </c>
      <c r="L29" s="22">
        <v>0.91749999999999998</v>
      </c>
      <c r="R29" s="48">
        <v>0.96309999999999996</v>
      </c>
      <c r="S29" s="22">
        <v>0.92869999999999997</v>
      </c>
      <c r="T29" s="22">
        <v>0.95469999999999999</v>
      </c>
      <c r="U29" s="22">
        <v>0.94889999999999997</v>
      </c>
      <c r="V29" s="22">
        <v>0.92310000000000003</v>
      </c>
      <c r="W29" s="11"/>
      <c r="X29" s="21">
        <v>0.94369999999999998</v>
      </c>
      <c r="Y29" s="22">
        <v>0.84430000000000005</v>
      </c>
      <c r="Z29" s="11"/>
      <c r="AA29" s="29">
        <v>0.9</v>
      </c>
      <c r="AB29" s="33"/>
      <c r="AC29" s="81" t="s">
        <v>33</v>
      </c>
      <c r="AD29" s="82" t="s">
        <v>33</v>
      </c>
      <c r="AE29" s="82" t="s">
        <v>33</v>
      </c>
      <c r="AF29" s="21">
        <v>6.1800000000000001E-2</v>
      </c>
      <c r="AG29" s="69">
        <v>4.1799999999999997E-2</v>
      </c>
      <c r="AH29" s="43">
        <v>4.8099999999999997E-2</v>
      </c>
      <c r="AI29" s="43">
        <v>0.115</v>
      </c>
      <c r="AJ29" s="43">
        <v>0.104</v>
      </c>
      <c r="AK29" s="43">
        <v>0.1573</v>
      </c>
      <c r="AL29" s="43">
        <v>0.23980000000000001</v>
      </c>
      <c r="AM29" s="43">
        <v>0.34610000000000002</v>
      </c>
      <c r="AN29" s="43">
        <v>0.21129999999999999</v>
      </c>
      <c r="AO29" s="43">
        <v>0.16200000000000001</v>
      </c>
      <c r="AP29" s="43">
        <v>9.69E-2</v>
      </c>
      <c r="AQ29" s="43">
        <v>7.5600000000000001E-2</v>
      </c>
      <c r="AR29" s="43">
        <v>5.4899999999999997E-2</v>
      </c>
      <c r="AT29" s="43">
        <v>4.5900000000000003E-2</v>
      </c>
      <c r="AU29" s="43">
        <v>6.4500000000000002E-2</v>
      </c>
      <c r="AV29" s="43">
        <v>6.9099999999999995E-2</v>
      </c>
      <c r="AW29" s="43">
        <v>0.1239</v>
      </c>
      <c r="AX29" s="11"/>
      <c r="AY29" s="43">
        <v>8.2400000000000001E-2</v>
      </c>
      <c r="AZ29" s="43">
        <v>9.5100000000000004E-2</v>
      </c>
      <c r="BA29" s="11"/>
      <c r="BB29" s="101" t="s">
        <v>49</v>
      </c>
    </row>
    <row r="30" spans="1:54">
      <c r="A30" s="149"/>
      <c r="B30" s="188"/>
      <c r="C30" s="3" t="s">
        <v>57</v>
      </c>
      <c r="D30" s="22">
        <v>5.8299999999999998E-2</v>
      </c>
      <c r="E30" s="22">
        <v>3.32E-2</v>
      </c>
      <c r="F30" s="22">
        <v>3.1800000000000002E-2</v>
      </c>
      <c r="G30" s="22">
        <v>1.29E-2</v>
      </c>
      <c r="I30" s="22">
        <v>4.4600000000000001E-2</v>
      </c>
      <c r="J30" s="22">
        <v>0.1154</v>
      </c>
      <c r="K30" s="22">
        <v>4.7500000000000001E-2</v>
      </c>
      <c r="L30" s="22">
        <v>7.22E-2</v>
      </c>
      <c r="R30" s="46">
        <v>3.0800000000000001E-2</v>
      </c>
      <c r="S30" s="22">
        <v>0.06</v>
      </c>
      <c r="T30" s="22">
        <v>3.2000000000000001E-2</v>
      </c>
      <c r="U30" s="22">
        <v>0.04</v>
      </c>
      <c r="V30" s="22">
        <v>6.6299999999999998E-2</v>
      </c>
      <c r="W30" s="11"/>
      <c r="X30" s="21">
        <v>4.5499999999999999E-2</v>
      </c>
      <c r="Y30" s="22">
        <v>6.5100000000000005E-2</v>
      </c>
      <c r="Z30" s="11"/>
      <c r="AA30" s="29">
        <v>0.03</v>
      </c>
      <c r="AB30" s="33"/>
      <c r="AC30" s="81">
        <v>7.46E-2</v>
      </c>
      <c r="AD30" s="88">
        <v>3.4799999999999998E-2</v>
      </c>
      <c r="AE30" s="88">
        <v>3.1300000000000001E-2</v>
      </c>
      <c r="AF30" s="21">
        <v>3.0099999999999998E-2</v>
      </c>
      <c r="AG30" s="69">
        <v>2.1499999999999998E-2</v>
      </c>
      <c r="AH30" s="43">
        <v>3.2899999999999999E-2</v>
      </c>
      <c r="AI30" s="43">
        <v>7.6999999999999999E-2</v>
      </c>
      <c r="AJ30" s="43">
        <v>8.0199999999999994E-2</v>
      </c>
      <c r="AK30" s="43">
        <v>0.1069</v>
      </c>
      <c r="AL30" s="43">
        <v>0.1245</v>
      </c>
      <c r="AM30" s="43">
        <v>0.189</v>
      </c>
      <c r="AN30" s="43">
        <v>0.1244</v>
      </c>
      <c r="AO30" s="43">
        <v>9.8400000000000001E-2</v>
      </c>
      <c r="AP30" s="43">
        <v>5.9200000000000003E-2</v>
      </c>
      <c r="AQ30" s="43">
        <v>3.6499999999999998E-2</v>
      </c>
      <c r="AR30" s="43">
        <v>3.0099999999999998E-2</v>
      </c>
      <c r="AT30" s="43">
        <v>2.6499999999999999E-2</v>
      </c>
      <c r="AU30" s="43">
        <v>4.9000000000000002E-2</v>
      </c>
      <c r="AV30" s="43">
        <v>6.4500000000000002E-2</v>
      </c>
      <c r="AW30" s="43">
        <v>0.1026</v>
      </c>
      <c r="AX30" s="11"/>
      <c r="AY30" s="43">
        <v>6.8699999999999997E-2</v>
      </c>
      <c r="AZ30" s="43">
        <v>6.0999999999999999E-2</v>
      </c>
      <c r="BA30" s="11"/>
      <c r="BB30" s="101" t="s">
        <v>49</v>
      </c>
    </row>
    <row r="31" spans="1:54">
      <c r="A31" s="149"/>
      <c r="B31" s="188"/>
      <c r="C31" s="7" t="s">
        <v>58</v>
      </c>
      <c r="I31" s="11"/>
      <c r="J31" s="11"/>
      <c r="K31" s="11"/>
      <c r="L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81" t="s">
        <v>33</v>
      </c>
      <c r="AD31" s="82" t="s">
        <v>33</v>
      </c>
      <c r="AE31" s="81" t="s">
        <v>33</v>
      </c>
      <c r="AF31" s="82" t="s">
        <v>33</v>
      </c>
      <c r="AG31" s="81" t="s">
        <v>33</v>
      </c>
      <c r="AH31" s="82" t="s">
        <v>33</v>
      </c>
      <c r="AI31" s="81" t="s">
        <v>33</v>
      </c>
      <c r="AJ31" s="82" t="s">
        <v>33</v>
      </c>
      <c r="AK31" s="81" t="s">
        <v>33</v>
      </c>
      <c r="AL31" s="82" t="s">
        <v>33</v>
      </c>
      <c r="AM31" s="81" t="s">
        <v>33</v>
      </c>
      <c r="AN31" s="82" t="s">
        <v>33</v>
      </c>
      <c r="AO31" s="81" t="s">
        <v>33</v>
      </c>
      <c r="AP31" s="82" t="s">
        <v>33</v>
      </c>
      <c r="AQ31" s="81" t="s">
        <v>33</v>
      </c>
      <c r="AR31" s="82" t="s">
        <v>33</v>
      </c>
      <c r="AT31" s="101">
        <v>2</v>
      </c>
      <c r="AU31" s="101">
        <v>8</v>
      </c>
      <c r="AV31" s="101">
        <v>5</v>
      </c>
      <c r="AW31" s="101">
        <v>9</v>
      </c>
      <c r="AX31" s="11"/>
      <c r="AY31" s="101">
        <v>25</v>
      </c>
      <c r="AZ31" s="43" t="s">
        <v>33</v>
      </c>
      <c r="BA31" s="11"/>
      <c r="BB31" s="101" t="s">
        <v>33</v>
      </c>
    </row>
    <row r="32" spans="1:54">
      <c r="A32" s="149"/>
      <c r="B32" s="189"/>
      <c r="C32" s="3" t="s">
        <v>59</v>
      </c>
      <c r="D32" s="27">
        <v>297</v>
      </c>
      <c r="E32" s="27">
        <v>866</v>
      </c>
      <c r="F32" s="27">
        <v>886</v>
      </c>
      <c r="G32" s="27">
        <v>994</v>
      </c>
      <c r="I32" s="27">
        <v>946</v>
      </c>
      <c r="J32" s="27">
        <v>1032</v>
      </c>
      <c r="K32" s="27">
        <v>1369</v>
      </c>
      <c r="L32" s="27">
        <v>1588</v>
      </c>
      <c r="R32" s="47">
        <v>1097</v>
      </c>
      <c r="S32" s="27">
        <v>1802</v>
      </c>
      <c r="T32" s="27">
        <v>1642</v>
      </c>
      <c r="U32" s="27">
        <v>1570</v>
      </c>
      <c r="V32" s="27">
        <v>1348</v>
      </c>
      <c r="W32" s="11"/>
      <c r="X32" s="25">
        <f>SUM(R32:V32)</f>
        <v>7459</v>
      </c>
      <c r="Y32" s="27">
        <v>5527</v>
      </c>
      <c r="Z32" s="11"/>
      <c r="AA32" s="25">
        <v>5953</v>
      </c>
      <c r="AB32" s="14"/>
      <c r="AC32" s="81" t="s">
        <v>33</v>
      </c>
      <c r="AD32" s="88" t="s">
        <v>33</v>
      </c>
      <c r="AE32" s="81" t="s">
        <v>33</v>
      </c>
      <c r="AF32" s="88" t="s">
        <v>33</v>
      </c>
      <c r="AG32" s="81" t="s">
        <v>33</v>
      </c>
      <c r="AH32" s="88" t="s">
        <v>33</v>
      </c>
      <c r="AI32" s="81" t="s">
        <v>33</v>
      </c>
      <c r="AJ32" s="88" t="s">
        <v>33</v>
      </c>
      <c r="AK32" s="81" t="s">
        <v>33</v>
      </c>
      <c r="AL32" s="88" t="s">
        <v>33</v>
      </c>
      <c r="AM32" s="81" t="s">
        <v>33</v>
      </c>
      <c r="AN32" s="88" t="s">
        <v>33</v>
      </c>
      <c r="AO32" s="81" t="s">
        <v>33</v>
      </c>
      <c r="AP32" s="88" t="s">
        <v>33</v>
      </c>
      <c r="AQ32" s="81" t="s">
        <v>33</v>
      </c>
      <c r="AR32" s="88" t="s">
        <v>33</v>
      </c>
      <c r="AT32" s="43">
        <v>0.5</v>
      </c>
      <c r="AU32" s="43">
        <v>1</v>
      </c>
      <c r="AV32" s="43">
        <v>1</v>
      </c>
      <c r="AW32" s="43">
        <v>0.55559999999999998</v>
      </c>
      <c r="AX32" s="11"/>
      <c r="AY32" s="43">
        <v>0.8</v>
      </c>
      <c r="AZ32" s="43" t="s">
        <v>33</v>
      </c>
      <c r="BA32" s="11"/>
      <c r="BB32" s="101" t="s">
        <v>33</v>
      </c>
    </row>
    <row r="33" spans="1:54">
      <c r="A33" s="149"/>
      <c r="D33" s="22">
        <v>0.83840000000000003</v>
      </c>
      <c r="E33" s="22">
        <v>0.873</v>
      </c>
      <c r="F33" s="22">
        <v>0.71779999999999999</v>
      </c>
      <c r="G33" s="22">
        <v>0.95669999999999999</v>
      </c>
      <c r="I33" s="22">
        <v>0.84040000000000004</v>
      </c>
      <c r="J33" s="22">
        <v>0.86140000000000005</v>
      </c>
      <c r="K33" s="22">
        <v>0.68810000000000004</v>
      </c>
      <c r="L33" s="22">
        <v>0.8004</v>
      </c>
      <c r="R33" s="46">
        <v>0.87509999999999999</v>
      </c>
      <c r="S33" s="22">
        <v>0.78739999999999999</v>
      </c>
      <c r="T33" s="22">
        <v>0.80840000000000001</v>
      </c>
      <c r="U33" s="22">
        <v>0.88580000000000003</v>
      </c>
      <c r="V33" s="22">
        <v>0.88680000000000003</v>
      </c>
      <c r="W33" s="11"/>
      <c r="X33" s="21">
        <f>AVERAGE(R33:V33)</f>
        <v>0.84870000000000023</v>
      </c>
      <c r="Y33" s="22">
        <v>0.79949999999999999</v>
      </c>
      <c r="Z33" s="11"/>
      <c r="AA33" s="29">
        <v>0.9</v>
      </c>
      <c r="AB33" s="33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>
      <c r="A34" s="149"/>
      <c r="B34" s="169" t="s">
        <v>60</v>
      </c>
      <c r="C34" s="5" t="s">
        <v>61</v>
      </c>
      <c r="I34" s="11"/>
      <c r="J34" s="11"/>
      <c r="K34" s="11"/>
      <c r="L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85">
        <v>1520</v>
      </c>
      <c r="AD34" s="78">
        <v>1289</v>
      </c>
      <c r="AE34" s="78">
        <v>1538</v>
      </c>
      <c r="AF34" s="27">
        <v>1888</v>
      </c>
      <c r="AG34" s="39">
        <v>2133</v>
      </c>
      <c r="AH34" s="39">
        <v>1875</v>
      </c>
      <c r="AI34" s="39">
        <v>1806</v>
      </c>
      <c r="AJ34" s="39">
        <v>1407</v>
      </c>
      <c r="AK34" s="39">
        <v>1451</v>
      </c>
      <c r="AL34" s="63">
        <v>1483</v>
      </c>
      <c r="AM34" s="63">
        <v>1448</v>
      </c>
      <c r="AN34" s="63">
        <v>1299</v>
      </c>
      <c r="AO34" s="63">
        <v>1351</v>
      </c>
      <c r="AP34" s="63">
        <v>1108</v>
      </c>
      <c r="AQ34" s="63">
        <v>1161</v>
      </c>
      <c r="AR34" s="63">
        <v>986</v>
      </c>
      <c r="AT34" s="116">
        <v>177</v>
      </c>
      <c r="AU34" s="116">
        <v>214</v>
      </c>
      <c r="AV34" s="116">
        <v>230</v>
      </c>
      <c r="AW34" s="107">
        <v>245</v>
      </c>
      <c r="AX34" s="11"/>
      <c r="AY34" s="116">
        <v>926</v>
      </c>
      <c r="AZ34" s="63">
        <v>936</v>
      </c>
      <c r="BA34" s="11"/>
      <c r="BB34" s="63">
        <v>1104</v>
      </c>
    </row>
    <row r="35" spans="1:54">
      <c r="A35" s="149"/>
      <c r="B35" s="169"/>
      <c r="C35" s="6" t="s">
        <v>62</v>
      </c>
      <c r="D35" s="27">
        <v>67</v>
      </c>
      <c r="E35" s="27">
        <v>207</v>
      </c>
      <c r="F35" s="27">
        <v>176</v>
      </c>
      <c r="G35" s="27">
        <v>145</v>
      </c>
      <c r="I35" s="27">
        <v>130</v>
      </c>
      <c r="J35" s="27">
        <v>127</v>
      </c>
      <c r="K35" s="27">
        <v>117</v>
      </c>
      <c r="L35" s="27">
        <v>164</v>
      </c>
      <c r="R35" s="49">
        <v>90</v>
      </c>
      <c r="S35" s="27">
        <v>142</v>
      </c>
      <c r="T35" s="27">
        <v>134</v>
      </c>
      <c r="U35" s="27">
        <v>126</v>
      </c>
      <c r="V35" s="27">
        <v>70</v>
      </c>
      <c r="W35" s="11"/>
      <c r="X35" s="16">
        <f>SUM(R35:V35)</f>
        <v>562</v>
      </c>
      <c r="Y35" s="27">
        <v>566</v>
      </c>
      <c r="Z35" s="11"/>
      <c r="AA35" s="25">
        <v>2580</v>
      </c>
      <c r="AB35" s="14"/>
      <c r="AC35" s="81">
        <v>0.90720000000000001</v>
      </c>
      <c r="AD35" s="82">
        <v>0.83630000000000004</v>
      </c>
      <c r="AE35" s="82">
        <v>0.90380000000000005</v>
      </c>
      <c r="AF35" s="22">
        <v>0.84430000000000005</v>
      </c>
      <c r="AG35" s="69">
        <v>0.94369999999999998</v>
      </c>
      <c r="AH35" s="43">
        <v>0.93440000000000001</v>
      </c>
      <c r="AI35" s="43">
        <v>0.95240000000000002</v>
      </c>
      <c r="AJ35" s="43">
        <v>0.91900000000000004</v>
      </c>
      <c r="AK35" s="43">
        <v>0.92559999999999998</v>
      </c>
      <c r="AL35" s="43">
        <v>0.88739999999999997</v>
      </c>
      <c r="AM35" s="43">
        <v>0.9123</v>
      </c>
      <c r="AN35" s="43">
        <v>0.90529999999999999</v>
      </c>
      <c r="AO35" s="43">
        <v>0.86599999999999999</v>
      </c>
      <c r="AP35" s="43">
        <v>0.85919999999999996</v>
      </c>
      <c r="AQ35" s="43">
        <v>0.83030000000000004</v>
      </c>
      <c r="AR35" s="43">
        <v>0.87529999999999997</v>
      </c>
      <c r="AT35" s="118">
        <v>0.86439999999999995</v>
      </c>
      <c r="AU35" s="118">
        <v>0.8972</v>
      </c>
      <c r="AV35" s="118">
        <v>0.88260000000000005</v>
      </c>
      <c r="AW35" s="104">
        <v>0.87760000000000005</v>
      </c>
      <c r="AX35" s="11"/>
      <c r="AY35" s="118">
        <v>0.88439999999999996</v>
      </c>
      <c r="AZ35" s="43">
        <v>0.84940000000000004</v>
      </c>
      <c r="BA35" s="11"/>
      <c r="BB35" s="115">
        <v>0.9</v>
      </c>
    </row>
    <row r="36" spans="1:54">
      <c r="A36" s="149"/>
      <c r="B36" s="169"/>
      <c r="C36" s="6" t="s">
        <v>63</v>
      </c>
      <c r="D36" s="22">
        <v>0.86570000000000003</v>
      </c>
      <c r="E36" s="22">
        <v>0.79710000000000003</v>
      </c>
      <c r="F36" s="22">
        <v>0.88639999999999997</v>
      </c>
      <c r="G36" s="22">
        <v>0.81379999999999997</v>
      </c>
      <c r="I36" s="22">
        <v>0.8538</v>
      </c>
      <c r="J36" s="22">
        <v>0.86609999999999998</v>
      </c>
      <c r="K36" s="22">
        <v>0.87180000000000002</v>
      </c>
      <c r="L36" s="22">
        <v>0.84760000000000002</v>
      </c>
      <c r="R36" s="50">
        <v>0.94440000000000002</v>
      </c>
      <c r="S36" s="22">
        <v>0.87319999999999998</v>
      </c>
      <c r="T36" s="22">
        <v>0.78359999999999996</v>
      </c>
      <c r="U36" s="22">
        <v>0.8175</v>
      </c>
      <c r="V36" s="22">
        <v>0.7429</v>
      </c>
      <c r="W36" s="11"/>
      <c r="X36" s="21">
        <v>0.83450000000000002</v>
      </c>
      <c r="Y36" s="22">
        <v>0.85870000000000002</v>
      </c>
      <c r="Z36" s="11"/>
      <c r="AA36" s="29">
        <v>0.85</v>
      </c>
      <c r="AB36" s="33"/>
      <c r="AC36" s="81">
        <v>8.6E-3</v>
      </c>
      <c r="AD36" s="82">
        <v>3.1E-2</v>
      </c>
      <c r="AE36" s="82">
        <v>4.1000000000000002E-2</v>
      </c>
      <c r="AF36" s="22">
        <v>6.5100000000000005E-2</v>
      </c>
      <c r="AG36" s="69">
        <v>4.5499999999999999E-2</v>
      </c>
      <c r="AH36" s="43">
        <v>4.8000000000000001E-2</v>
      </c>
      <c r="AI36" s="43">
        <v>3.6499999999999998E-2</v>
      </c>
      <c r="AJ36" s="43">
        <v>6.6799999999999998E-2</v>
      </c>
      <c r="AK36" s="43">
        <v>4.7600000000000003E-2</v>
      </c>
      <c r="AL36" s="43">
        <v>8.3599999999999994E-2</v>
      </c>
      <c r="AM36" s="43">
        <v>5.8000000000000003E-2</v>
      </c>
      <c r="AN36" s="43">
        <v>6.8500000000000005E-2</v>
      </c>
      <c r="AO36" s="43">
        <v>0.111</v>
      </c>
      <c r="AP36" s="43">
        <v>0.1182</v>
      </c>
      <c r="AQ36" s="43">
        <v>0.14130000000000001</v>
      </c>
      <c r="AR36" s="43">
        <v>0.1024</v>
      </c>
      <c r="AT36" s="123">
        <v>0.1017</v>
      </c>
      <c r="AU36" s="123">
        <v>0.1028</v>
      </c>
      <c r="AV36" s="123">
        <v>9.5699999999999993E-2</v>
      </c>
      <c r="AW36" s="69">
        <v>0.1061</v>
      </c>
      <c r="AX36" s="11"/>
      <c r="AY36" s="123">
        <v>9.8299999999999998E-2</v>
      </c>
      <c r="AZ36" s="43">
        <v>0.1293</v>
      </c>
      <c r="BA36" s="11"/>
      <c r="BB36" s="115">
        <v>0.03</v>
      </c>
    </row>
    <row r="37" spans="1:54">
      <c r="A37" s="149"/>
      <c r="D37" s="22">
        <v>0.97009999999999996</v>
      </c>
      <c r="E37" s="22">
        <v>0.90820000000000001</v>
      </c>
      <c r="F37" s="22">
        <v>0.94320000000000004</v>
      </c>
      <c r="G37" s="22">
        <v>0.88970000000000005</v>
      </c>
      <c r="I37" s="22">
        <v>0.91539999999999999</v>
      </c>
      <c r="J37" s="22">
        <v>0.93700000000000006</v>
      </c>
      <c r="K37" s="22">
        <v>0.94020000000000004</v>
      </c>
      <c r="L37" s="22">
        <v>0.91459999999999997</v>
      </c>
      <c r="R37" s="51">
        <v>0.9778</v>
      </c>
      <c r="S37" s="22">
        <v>0.92959999999999998</v>
      </c>
      <c r="T37" s="22">
        <v>0.90300000000000002</v>
      </c>
      <c r="U37" s="22">
        <v>0.91269999999999996</v>
      </c>
      <c r="V37" s="22">
        <v>0.84289999999999998</v>
      </c>
      <c r="W37" s="11"/>
      <c r="X37" s="21">
        <v>0.91639999999999999</v>
      </c>
      <c r="Y37" s="22">
        <v>0.92930000000000001</v>
      </c>
      <c r="Z37" s="11"/>
      <c r="AA37" s="26" t="s">
        <v>64</v>
      </c>
      <c r="AB37" s="14"/>
      <c r="AX37" s="11"/>
      <c r="BA37" s="11"/>
      <c r="BB37" s="11"/>
    </row>
    <row r="38" spans="1:54">
      <c r="A38" s="149"/>
      <c r="B38" s="151" t="s">
        <v>65</v>
      </c>
      <c r="C38" s="5" t="s">
        <v>66</v>
      </c>
      <c r="I38" s="11"/>
      <c r="J38" s="11"/>
      <c r="K38" s="11"/>
      <c r="L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85">
        <v>2254</v>
      </c>
      <c r="AD38" s="78">
        <v>3568</v>
      </c>
      <c r="AE38" s="78">
        <v>4135</v>
      </c>
      <c r="AF38" s="27">
        <v>5527</v>
      </c>
      <c r="AG38" s="39">
        <v>7459</v>
      </c>
      <c r="AH38" s="39">
        <v>8420</v>
      </c>
      <c r="AI38" s="39">
        <v>9676</v>
      </c>
      <c r="AJ38" s="39">
        <v>9392</v>
      </c>
      <c r="AK38" s="39">
        <v>10444</v>
      </c>
      <c r="AL38" s="63">
        <v>12412</v>
      </c>
      <c r="AM38" s="63">
        <v>11829</v>
      </c>
      <c r="AN38" s="63">
        <v>11626</v>
      </c>
      <c r="AO38" s="63">
        <v>11963</v>
      </c>
      <c r="AP38" s="63">
        <v>11040</v>
      </c>
      <c r="AQ38" s="63">
        <v>11595</v>
      </c>
      <c r="AR38" s="63">
        <v>11259</v>
      </c>
      <c r="AT38" s="155">
        <v>2366</v>
      </c>
      <c r="AU38" s="155">
        <v>2371</v>
      </c>
      <c r="AV38" s="155">
        <v>2313</v>
      </c>
      <c r="AW38" s="117">
        <v>2641</v>
      </c>
      <c r="AX38" s="11"/>
      <c r="AY38" s="116">
        <v>10336</v>
      </c>
      <c r="AZ38" s="63">
        <v>10350</v>
      </c>
      <c r="BA38" s="11"/>
      <c r="BB38" s="63">
        <v>10338</v>
      </c>
    </row>
    <row r="39" spans="1:54">
      <c r="A39" s="149"/>
      <c r="B39" s="151"/>
      <c r="C39" s="5" t="s">
        <v>67</v>
      </c>
      <c r="D39" s="23">
        <v>0.85650000000000004</v>
      </c>
      <c r="E39" s="23">
        <v>0.86360000000000003</v>
      </c>
      <c r="F39" s="23">
        <v>0.87619999999999998</v>
      </c>
      <c r="G39" s="23">
        <v>0.88919999999999999</v>
      </c>
      <c r="I39" s="23">
        <v>0.84950000000000003</v>
      </c>
      <c r="J39" s="23">
        <v>0.86429999999999996</v>
      </c>
      <c r="K39" s="23">
        <v>0.87680000000000002</v>
      </c>
      <c r="L39" s="23">
        <v>0.88160000000000005</v>
      </c>
      <c r="R39" s="52">
        <v>0.8841</v>
      </c>
      <c r="S39" s="23">
        <v>0.88429999999999997</v>
      </c>
      <c r="T39" s="23">
        <v>0.91510000000000002</v>
      </c>
      <c r="U39" s="23">
        <v>0.89749999999999996</v>
      </c>
      <c r="V39" s="23">
        <v>0.85460000000000003</v>
      </c>
      <c r="W39" s="11"/>
      <c r="X39" s="24">
        <f>AVERAGE(R39:V39)</f>
        <v>0.88712000000000002</v>
      </c>
      <c r="Y39" s="23">
        <v>0.87350000000000005</v>
      </c>
      <c r="Z39" s="11"/>
      <c r="AA39" s="32">
        <v>0.85</v>
      </c>
      <c r="AB39" s="33"/>
      <c r="AC39" s="81">
        <v>0.89800000000000002</v>
      </c>
      <c r="AD39" s="82">
        <v>0.73570000000000002</v>
      </c>
      <c r="AE39" s="82">
        <v>0.86260000000000003</v>
      </c>
      <c r="AF39" s="22">
        <v>0.79949999999999999</v>
      </c>
      <c r="AG39" s="69">
        <v>0.84870000000000023</v>
      </c>
      <c r="AH39" s="43">
        <v>0.83960000000000001</v>
      </c>
      <c r="AI39" s="43">
        <v>0.83679999999999999</v>
      </c>
      <c r="AJ39" s="43">
        <v>0.71819999999999995</v>
      </c>
      <c r="AK39" s="43">
        <v>0.47689999999999999</v>
      </c>
      <c r="AL39" s="43">
        <v>0.49459999999999998</v>
      </c>
      <c r="AM39" s="43">
        <v>0.35780000000000001</v>
      </c>
      <c r="AN39" s="43">
        <v>0.6542</v>
      </c>
      <c r="AO39" s="43">
        <v>0.85760000000000003</v>
      </c>
      <c r="AP39" s="43">
        <v>0.85040000000000004</v>
      </c>
      <c r="AQ39" s="43">
        <v>0.86770000000000003</v>
      </c>
      <c r="AR39" s="43">
        <v>0.96050000000000002</v>
      </c>
      <c r="AT39" s="123">
        <v>0.98050000000000004</v>
      </c>
      <c r="AU39" s="123">
        <v>0.95530000000000004</v>
      </c>
      <c r="AV39" s="123">
        <v>0.96550000000000002</v>
      </c>
      <c r="AW39" s="69">
        <v>0.86009999999999998</v>
      </c>
      <c r="AX39" s="11"/>
      <c r="AY39" s="69">
        <v>0.89239999999999997</v>
      </c>
      <c r="AZ39" s="43">
        <v>0.95950000000000002</v>
      </c>
      <c r="BA39" s="11"/>
      <c r="BB39" s="115">
        <v>0.9</v>
      </c>
    </row>
    <row r="40" spans="1:54">
      <c r="A40" s="149"/>
      <c r="D40" s="22">
        <v>0.20430000000000001</v>
      </c>
      <c r="E40" s="22">
        <v>0.1618</v>
      </c>
      <c r="F40" s="22">
        <v>0.13689999999999999</v>
      </c>
      <c r="G40" s="22">
        <v>0.11409999999999999</v>
      </c>
      <c r="I40" s="22">
        <v>0.1585</v>
      </c>
      <c r="J40" s="22">
        <v>0.13320000000000001</v>
      </c>
      <c r="K40" s="22">
        <v>0.1163</v>
      </c>
      <c r="L40" s="22">
        <v>0.1174</v>
      </c>
      <c r="R40" s="51">
        <v>0.13270000000000001</v>
      </c>
      <c r="S40" s="22">
        <v>0.15260000000000001</v>
      </c>
      <c r="T40" s="22">
        <v>9.2600000000000002E-2</v>
      </c>
      <c r="U40" s="22">
        <v>0.11799999999999999</v>
      </c>
      <c r="V40" s="22">
        <v>0.1789</v>
      </c>
      <c r="W40" s="11"/>
      <c r="X40" s="24">
        <f>AVERAGE(R40:V40)</f>
        <v>0.13496000000000002</v>
      </c>
      <c r="Y40" s="22">
        <v>0.153</v>
      </c>
      <c r="Z40" s="11"/>
      <c r="AA40" s="26" t="s">
        <v>68</v>
      </c>
      <c r="AB40" s="14"/>
      <c r="AT40" s="11"/>
      <c r="AU40" s="11"/>
      <c r="AV40" s="11"/>
      <c r="AW40" s="11"/>
      <c r="AX40" s="11"/>
      <c r="AY40" s="11"/>
      <c r="AZ40" s="11"/>
      <c r="BA40" s="11"/>
      <c r="BB40" s="11"/>
    </row>
    <row r="41" spans="1:54">
      <c r="A41" s="149"/>
      <c r="B41" s="183" t="s">
        <v>69</v>
      </c>
      <c r="C41" s="2" t="s">
        <v>70</v>
      </c>
      <c r="I41" s="11"/>
      <c r="J41" s="11"/>
      <c r="K41" s="11"/>
      <c r="L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85">
        <v>1086</v>
      </c>
      <c r="AD41" s="89">
        <v>786</v>
      </c>
      <c r="AE41" s="89">
        <v>757</v>
      </c>
      <c r="AF41" s="27">
        <v>566</v>
      </c>
      <c r="AG41" s="39">
        <v>562</v>
      </c>
      <c r="AH41" s="39">
        <v>478</v>
      </c>
      <c r="AI41" s="39">
        <v>474</v>
      </c>
      <c r="AJ41" s="39">
        <v>364</v>
      </c>
      <c r="AK41" s="39">
        <v>273</v>
      </c>
      <c r="AL41" s="114">
        <v>174</v>
      </c>
      <c r="AM41" s="114">
        <v>100</v>
      </c>
      <c r="AN41" s="114">
        <v>108</v>
      </c>
      <c r="AO41" s="114">
        <v>135</v>
      </c>
      <c r="AP41" s="114">
        <v>71</v>
      </c>
      <c r="AQ41" s="114">
        <v>62</v>
      </c>
      <c r="AR41" s="114">
        <v>39</v>
      </c>
      <c r="AT41" s="120">
        <v>6</v>
      </c>
      <c r="AU41" s="120">
        <v>4</v>
      </c>
      <c r="AV41" s="120">
        <v>9</v>
      </c>
      <c r="AW41" s="120">
        <v>6</v>
      </c>
      <c r="AX41" s="11"/>
      <c r="AY41" s="120">
        <v>25</v>
      </c>
      <c r="AZ41" s="114">
        <v>70</v>
      </c>
      <c r="BA41" s="11"/>
      <c r="BB41" s="63" t="s">
        <v>33</v>
      </c>
    </row>
    <row r="42" spans="1:54" ht="15" customHeight="1">
      <c r="A42" s="149"/>
      <c r="B42" s="188"/>
      <c r="C42" s="2" t="s">
        <v>71</v>
      </c>
      <c r="D42" s="17">
        <v>1159</v>
      </c>
      <c r="E42" s="17">
        <v>3760</v>
      </c>
      <c r="F42" s="17">
        <v>3664</v>
      </c>
      <c r="G42" s="27">
        <v>3686</v>
      </c>
      <c r="I42" s="17">
        <v>2870</v>
      </c>
      <c r="J42" s="17">
        <v>3093</v>
      </c>
      <c r="K42" s="17">
        <v>3449</v>
      </c>
      <c r="L42" s="27">
        <v>3121</v>
      </c>
      <c r="R42" s="49">
        <v>1951</v>
      </c>
      <c r="S42" s="27">
        <v>2912</v>
      </c>
      <c r="T42" s="27">
        <v>3286</v>
      </c>
      <c r="U42" s="27">
        <v>3429</v>
      </c>
      <c r="V42" s="27">
        <v>2422</v>
      </c>
      <c r="W42" s="11"/>
      <c r="X42" s="25">
        <v>14084</v>
      </c>
      <c r="Y42" s="27">
        <v>13680</v>
      </c>
      <c r="Z42" s="11"/>
      <c r="AA42" s="25">
        <v>18864</v>
      </c>
      <c r="AB42" s="14"/>
      <c r="AC42" s="81">
        <v>0.42730000000000001</v>
      </c>
      <c r="AD42" s="88">
        <v>0.75700000000000001</v>
      </c>
      <c r="AE42" s="88">
        <v>0.84409999999999996</v>
      </c>
      <c r="AF42" s="22">
        <v>0.85870000000000002</v>
      </c>
      <c r="AG42" s="69">
        <v>0.83450000000000002</v>
      </c>
      <c r="AH42" s="43">
        <v>0.83889999999999998</v>
      </c>
      <c r="AI42" s="43">
        <v>0.81430000000000002</v>
      </c>
      <c r="AJ42" s="43">
        <v>0.84340000000000004</v>
      </c>
      <c r="AK42" s="43">
        <v>0.81679999999999997</v>
      </c>
      <c r="AL42" s="43">
        <v>0.79310000000000003</v>
      </c>
      <c r="AM42" s="43">
        <v>0.74</v>
      </c>
      <c r="AN42" s="43">
        <v>0.71299999999999997</v>
      </c>
      <c r="AO42" s="43">
        <v>0.71109999999999995</v>
      </c>
      <c r="AP42" s="43">
        <v>0.57750000000000001</v>
      </c>
      <c r="AQ42" s="43">
        <v>0.2581</v>
      </c>
      <c r="AR42" s="43">
        <v>0.35899999999999999</v>
      </c>
      <c r="AT42" s="122">
        <v>1</v>
      </c>
      <c r="AU42" s="122">
        <v>0.25</v>
      </c>
      <c r="AV42" s="122">
        <v>0.33329999999999999</v>
      </c>
      <c r="AW42" s="122">
        <v>0.33329999999999999</v>
      </c>
      <c r="AX42" s="11"/>
      <c r="AY42" s="122">
        <v>0.48</v>
      </c>
      <c r="AZ42" s="43">
        <v>0.47139999999999999</v>
      </c>
      <c r="BA42" s="11"/>
      <c r="BB42" s="115">
        <v>0.85</v>
      </c>
    </row>
    <row r="43" spans="1:54">
      <c r="A43" s="149"/>
      <c r="B43" s="184"/>
      <c r="C43" s="3" t="s">
        <v>72</v>
      </c>
      <c r="D43" s="20">
        <f>SUM(D44,D45)</f>
        <v>735</v>
      </c>
      <c r="E43" s="20">
        <f>SUM(E44,E45)</f>
        <v>2880</v>
      </c>
      <c r="F43" s="20">
        <f>SUM(F44,F45)</f>
        <v>2793</v>
      </c>
      <c r="G43" s="20">
        <f>SUM(G44,G45)</f>
        <v>3046</v>
      </c>
      <c r="I43" s="41">
        <v>2409</v>
      </c>
      <c r="J43" s="19">
        <f>SUM(J44:J45)</f>
        <v>2618</v>
      </c>
      <c r="K43" s="20">
        <v>2873</v>
      </c>
      <c r="L43" s="20">
        <v>2823</v>
      </c>
      <c r="R43" s="54">
        <v>1706</v>
      </c>
      <c r="S43" s="20">
        <v>2668</v>
      </c>
      <c r="T43" s="20">
        <v>2926</v>
      </c>
      <c r="U43" s="20">
        <v>2888</v>
      </c>
      <c r="V43" s="20">
        <v>2179</v>
      </c>
      <c r="W43" s="11"/>
      <c r="X43" s="25">
        <f>SUM(X44:X45)</f>
        <v>12621</v>
      </c>
      <c r="Y43" s="27">
        <v>11641</v>
      </c>
      <c r="Z43" s="11"/>
      <c r="AA43" s="26">
        <v>9432</v>
      </c>
      <c r="AB43" s="14"/>
      <c r="AC43" s="81">
        <v>0.60409999999999997</v>
      </c>
      <c r="AD43" s="88">
        <v>0.86899999999999999</v>
      </c>
      <c r="AE43" s="88">
        <v>0.9194</v>
      </c>
      <c r="AF43" s="22">
        <v>0.92930000000000001</v>
      </c>
      <c r="AG43" s="69">
        <v>0.91639999999999999</v>
      </c>
      <c r="AH43" s="43">
        <v>0.91210000000000002</v>
      </c>
      <c r="AI43" s="43">
        <v>0.8861</v>
      </c>
      <c r="AJ43" s="43">
        <v>0.91479999999999995</v>
      </c>
      <c r="AK43" s="43">
        <v>0.89739999999999998</v>
      </c>
      <c r="AL43" s="43">
        <v>0.86209999999999998</v>
      </c>
      <c r="AM43" s="43">
        <v>0.83</v>
      </c>
      <c r="AN43" s="43">
        <v>0.84260000000000002</v>
      </c>
      <c r="AO43" s="43">
        <v>0.78520000000000001</v>
      </c>
      <c r="AP43" s="43">
        <v>0.66200000000000003</v>
      </c>
      <c r="AQ43" s="43">
        <v>0.4516</v>
      </c>
      <c r="AR43" s="43">
        <v>0.53849999999999998</v>
      </c>
      <c r="AT43" s="122">
        <v>1</v>
      </c>
      <c r="AU43" s="122">
        <v>0.75</v>
      </c>
      <c r="AV43" s="122">
        <v>0.55559999999999998</v>
      </c>
      <c r="AW43" s="122">
        <v>0.66669999999999996</v>
      </c>
      <c r="AY43" s="122">
        <v>0.72</v>
      </c>
      <c r="AZ43" s="43">
        <v>0.65710000000000002</v>
      </c>
      <c r="BA43" s="11"/>
      <c r="BB43" s="101" t="s">
        <v>64</v>
      </c>
    </row>
    <row r="44" spans="1:54">
      <c r="A44" s="149"/>
      <c r="B44" s="4"/>
      <c r="D44" s="19">
        <v>514</v>
      </c>
      <c r="E44" s="19">
        <v>2107</v>
      </c>
      <c r="F44" s="19">
        <v>1982</v>
      </c>
      <c r="G44" s="20">
        <v>2141</v>
      </c>
      <c r="I44" s="19">
        <v>1721</v>
      </c>
      <c r="J44" s="35">
        <v>1995</v>
      </c>
      <c r="K44" s="35">
        <v>2116</v>
      </c>
      <c r="L44" s="36">
        <v>2053</v>
      </c>
      <c r="R44" s="54">
        <v>1305</v>
      </c>
      <c r="S44" s="36">
        <v>1993</v>
      </c>
      <c r="T44" s="36">
        <v>2157</v>
      </c>
      <c r="U44" s="36">
        <v>2127</v>
      </c>
      <c r="V44" s="36">
        <v>1738</v>
      </c>
      <c r="W44" s="30"/>
      <c r="X44" s="25">
        <f>SUM(R44:V44)</f>
        <v>9320</v>
      </c>
      <c r="Y44" s="27">
        <v>8543</v>
      </c>
      <c r="Z44" s="11"/>
      <c r="AA44" s="26">
        <v>7546</v>
      </c>
      <c r="AB44" s="14"/>
      <c r="BA44" s="11"/>
      <c r="BB44" s="11"/>
    </row>
    <row r="45" spans="1:54">
      <c r="A45" s="149"/>
      <c r="B45" s="183" t="s">
        <v>73</v>
      </c>
      <c r="C45" s="2" t="s">
        <v>74</v>
      </c>
      <c r="D45" s="20">
        <v>221</v>
      </c>
      <c r="E45" s="20">
        <v>773</v>
      </c>
      <c r="F45" s="20">
        <v>811</v>
      </c>
      <c r="G45" s="20">
        <v>905</v>
      </c>
      <c r="I45" s="20">
        <v>688</v>
      </c>
      <c r="J45" s="20">
        <v>623</v>
      </c>
      <c r="K45" s="20">
        <v>759</v>
      </c>
      <c r="L45" s="20">
        <v>770</v>
      </c>
      <c r="R45" s="53">
        <v>485</v>
      </c>
      <c r="S45" s="20">
        <v>717</v>
      </c>
      <c r="T45" s="20">
        <v>799</v>
      </c>
      <c r="U45" s="20">
        <v>762</v>
      </c>
      <c r="V45" s="20">
        <v>538</v>
      </c>
      <c r="W45" s="11"/>
      <c r="X45" s="25">
        <v>3301</v>
      </c>
      <c r="Y45" s="27">
        <v>3098</v>
      </c>
      <c r="Z45" s="11"/>
      <c r="AA45" s="26">
        <v>1886</v>
      </c>
      <c r="AB45" s="14"/>
      <c r="AC45" s="83">
        <v>0.88719999999999999</v>
      </c>
      <c r="AD45" s="84">
        <v>0.87019999999999997</v>
      </c>
      <c r="AE45" s="84">
        <v>0.879</v>
      </c>
      <c r="AF45" s="23">
        <v>0.87350000000000005</v>
      </c>
      <c r="AG45" s="69">
        <v>0.88712000000000002</v>
      </c>
      <c r="AH45" s="69">
        <v>0.90369999999999995</v>
      </c>
      <c r="AI45" s="69">
        <v>0.87119999999999997</v>
      </c>
      <c r="AJ45" s="69">
        <v>0.85260000000000002</v>
      </c>
      <c r="AK45" s="69">
        <v>0.86060000000000003</v>
      </c>
      <c r="AL45" s="69">
        <v>0.88100000000000001</v>
      </c>
      <c r="AM45" s="69">
        <v>0.88529999999999998</v>
      </c>
      <c r="AN45" s="69">
        <v>0.88229999999999997</v>
      </c>
      <c r="AO45" s="69">
        <v>0.88139999999999996</v>
      </c>
      <c r="AP45" s="123">
        <v>0.87360000000000004</v>
      </c>
      <c r="AQ45" s="69">
        <v>0.87180000000000002</v>
      </c>
      <c r="AR45" s="69">
        <v>0.878</v>
      </c>
      <c r="AT45" s="69">
        <v>0.87370000000000003</v>
      </c>
      <c r="AU45" s="69">
        <v>0.87050000000000005</v>
      </c>
      <c r="AV45" s="69">
        <v>0.86929999999999996</v>
      </c>
      <c r="AW45" s="69">
        <v>0.86880000000000002</v>
      </c>
      <c r="AY45" s="69">
        <v>0.86550000000000005</v>
      </c>
      <c r="AZ45" s="69">
        <v>0.87090000000000001</v>
      </c>
      <c r="BA45" s="11"/>
      <c r="BB45" s="124">
        <v>0.85</v>
      </c>
    </row>
    <row r="46" spans="1:54">
      <c r="A46" s="150"/>
      <c r="B46" s="189"/>
      <c r="C46" s="3" t="s">
        <v>75</v>
      </c>
      <c r="I46" s="11"/>
      <c r="J46" s="11"/>
      <c r="K46" s="11"/>
      <c r="L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83" t="s">
        <v>33</v>
      </c>
      <c r="AD46" s="82" t="s">
        <v>33</v>
      </c>
      <c r="AE46" s="82">
        <v>0.13070000000000001</v>
      </c>
      <c r="AF46" s="22">
        <v>0.153</v>
      </c>
      <c r="AG46" s="69">
        <v>0.13496000000000002</v>
      </c>
      <c r="AH46" s="43">
        <v>0.1172</v>
      </c>
      <c r="AI46" s="43">
        <v>0.14960000000000001</v>
      </c>
      <c r="AJ46" s="43">
        <v>0.159</v>
      </c>
      <c r="AK46" s="43">
        <v>0.1704</v>
      </c>
      <c r="AL46" s="119">
        <v>0.14099999999999999</v>
      </c>
      <c r="AM46" s="119">
        <v>0.13550000000000001</v>
      </c>
      <c r="AN46" s="119">
        <v>0.1467</v>
      </c>
      <c r="AO46" s="119">
        <v>0.15040000000000001</v>
      </c>
      <c r="AP46" s="119">
        <v>0.15440000000000001</v>
      </c>
      <c r="AQ46" s="119">
        <v>0.15989999999999999</v>
      </c>
      <c r="AR46" s="119">
        <v>0.16700000000000001</v>
      </c>
      <c r="AT46" s="121">
        <v>0.1736</v>
      </c>
      <c r="AU46" s="121">
        <v>0.17910000000000001</v>
      </c>
      <c r="AV46" s="121">
        <v>0.18329999999999999</v>
      </c>
      <c r="AW46" s="121">
        <v>0.18060000000000001</v>
      </c>
      <c r="AX46" s="11"/>
      <c r="AY46" s="121">
        <v>0.18940000000000001</v>
      </c>
      <c r="AZ46" s="119">
        <v>0.17799999999999999</v>
      </c>
      <c r="BA46" s="11"/>
      <c r="BB46" s="101" t="s">
        <v>68</v>
      </c>
    </row>
    <row r="47" spans="1:54">
      <c r="D47" s="23">
        <v>0.62649999999999995</v>
      </c>
      <c r="E47" s="23">
        <v>0.70669999999999999</v>
      </c>
      <c r="F47" s="23">
        <v>0.72650000000000003</v>
      </c>
      <c r="G47" s="23">
        <v>0.72399999999999998</v>
      </c>
      <c r="I47" s="23">
        <v>0.67579999999999996</v>
      </c>
      <c r="J47" s="23">
        <v>0.73080000000000001</v>
      </c>
      <c r="K47" s="23">
        <v>0.7167</v>
      </c>
      <c r="L47" s="23">
        <v>0.74570000000000003</v>
      </c>
      <c r="R47" s="52">
        <v>0.70930000000000004</v>
      </c>
      <c r="S47" s="23">
        <v>0.71660000000000001</v>
      </c>
      <c r="T47" s="23">
        <v>0.75600000000000001</v>
      </c>
      <c r="U47" s="23">
        <v>0.7792</v>
      </c>
      <c r="V47" s="23">
        <v>0.76970000000000005</v>
      </c>
      <c r="W47" s="11"/>
      <c r="X47" s="24">
        <v>0.72599999999999998</v>
      </c>
      <c r="Y47" s="23">
        <v>0.71860000000000002</v>
      </c>
      <c r="Z47" s="11"/>
      <c r="AA47" s="32">
        <v>0.85</v>
      </c>
      <c r="AB47" s="33"/>
      <c r="AT47" s="11"/>
      <c r="AU47" s="11"/>
      <c r="AV47" s="11"/>
      <c r="AW47" s="11"/>
      <c r="AX47" s="11"/>
      <c r="AY47" s="11"/>
      <c r="AZ47" s="11"/>
      <c r="BA47" s="11"/>
      <c r="BB47" s="11"/>
    </row>
    <row r="48" spans="1:54" ht="15" customHeight="1">
      <c r="A48" s="148" t="s">
        <v>76</v>
      </c>
      <c r="B48" s="190" t="s">
        <v>77</v>
      </c>
      <c r="C48" s="144" t="s">
        <v>78</v>
      </c>
      <c r="D48" s="22">
        <v>0.4163</v>
      </c>
      <c r="E48" s="22">
        <v>0.4657</v>
      </c>
      <c r="F48" s="22">
        <v>0.45989999999999998</v>
      </c>
      <c r="G48" s="22">
        <v>0.50939999999999996</v>
      </c>
      <c r="I48" s="22">
        <v>0.48980000000000001</v>
      </c>
      <c r="J48" s="22">
        <v>0.48309999999999997</v>
      </c>
      <c r="K48" s="22">
        <v>0.51519999999999999</v>
      </c>
      <c r="L48" s="22">
        <v>0.48830000000000001</v>
      </c>
      <c r="R48" s="51">
        <v>0.50660000000000005</v>
      </c>
      <c r="S48" s="22">
        <v>0.46860000000000002</v>
      </c>
      <c r="T48" s="22">
        <v>0.44059999999999999</v>
      </c>
      <c r="U48" s="22">
        <v>0.45279999999999998</v>
      </c>
      <c r="V48" s="22">
        <v>0.54459999999999997</v>
      </c>
      <c r="W48" s="11"/>
      <c r="X48" s="24">
        <v>0.47649999999999998</v>
      </c>
      <c r="Y48" s="23">
        <v>0.49480000000000002</v>
      </c>
      <c r="Z48" s="11"/>
      <c r="AA48" s="29">
        <v>0.85</v>
      </c>
      <c r="AB48" s="33"/>
      <c r="AC48" s="85" t="s">
        <v>33</v>
      </c>
      <c r="AD48" s="78" t="s">
        <v>33</v>
      </c>
      <c r="AE48" s="78">
        <v>12269</v>
      </c>
      <c r="AF48" s="27">
        <v>13680</v>
      </c>
      <c r="AG48" s="39">
        <v>14084</v>
      </c>
      <c r="AH48" s="39">
        <v>13320</v>
      </c>
      <c r="AI48" s="39">
        <v>13241</v>
      </c>
      <c r="AJ48" s="39">
        <v>12205</v>
      </c>
      <c r="AK48" s="39">
        <v>12564</v>
      </c>
      <c r="AL48" s="63">
        <v>13010</v>
      </c>
      <c r="AM48" s="63">
        <v>12384</v>
      </c>
      <c r="AN48" s="63">
        <v>11748</v>
      </c>
      <c r="AO48" s="63">
        <v>12490</v>
      </c>
      <c r="AP48" s="63">
        <v>10528</v>
      </c>
      <c r="AQ48" s="120" t="s">
        <v>79</v>
      </c>
      <c r="AR48" s="63" t="s">
        <v>79</v>
      </c>
      <c r="AT48" s="117">
        <v>2298</v>
      </c>
      <c r="AU48" s="117">
        <v>2304</v>
      </c>
      <c r="AV48" s="117">
        <v>2221</v>
      </c>
      <c r="AW48" s="117">
        <v>2450</v>
      </c>
      <c r="AY48" s="117">
        <v>9856</v>
      </c>
      <c r="AZ48" s="117">
        <v>10279</v>
      </c>
      <c r="BA48" s="11"/>
      <c r="BB48" s="63" t="s">
        <v>33</v>
      </c>
    </row>
    <row r="49" spans="1:54">
      <c r="A49" s="149"/>
      <c r="B49" s="191"/>
      <c r="C49" s="3" t="s">
        <v>80</v>
      </c>
      <c r="I49" s="11"/>
      <c r="J49" s="11"/>
      <c r="K49" s="11"/>
      <c r="L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85" t="s">
        <v>33</v>
      </c>
      <c r="AD49" s="78" t="s">
        <v>33</v>
      </c>
      <c r="AE49" s="78">
        <v>12239</v>
      </c>
      <c r="AF49" s="27">
        <v>11641</v>
      </c>
      <c r="AG49" s="39">
        <v>12621</v>
      </c>
      <c r="AH49" s="39">
        <v>11922</v>
      </c>
      <c r="AI49" s="39">
        <v>12453</v>
      </c>
      <c r="AJ49" s="39">
        <v>11042</v>
      </c>
      <c r="AK49" s="39">
        <v>11303</v>
      </c>
      <c r="AL49" s="63">
        <v>12057</v>
      </c>
      <c r="AM49" s="63">
        <v>10764</v>
      </c>
      <c r="AN49" s="63">
        <v>9319</v>
      </c>
      <c r="AO49" s="63">
        <v>11671</v>
      </c>
      <c r="AP49" s="63">
        <v>10074</v>
      </c>
      <c r="AQ49" s="134" t="s">
        <v>79</v>
      </c>
      <c r="AR49" s="63" t="s">
        <v>79</v>
      </c>
      <c r="AT49" s="125">
        <v>2103</v>
      </c>
      <c r="AU49" s="125">
        <v>2356</v>
      </c>
      <c r="AV49" s="125">
        <v>2268</v>
      </c>
      <c r="AW49" s="125">
        <v>2367</v>
      </c>
      <c r="AX49" s="11"/>
      <c r="AY49" s="125">
        <v>9525</v>
      </c>
      <c r="AZ49" s="101">
        <v>10114</v>
      </c>
      <c r="BA49" s="11"/>
      <c r="BB49" s="101" t="s">
        <v>33</v>
      </c>
    </row>
    <row r="50" spans="1:54">
      <c r="A50" s="149"/>
      <c r="B50" s="191"/>
      <c r="C50" s="3" t="s">
        <v>81</v>
      </c>
      <c r="D50" s="23">
        <v>0.87309999999999999</v>
      </c>
      <c r="E50" s="23">
        <v>0.87309999999999999</v>
      </c>
      <c r="F50" s="23">
        <v>0.87309999999999999</v>
      </c>
      <c r="G50" s="23">
        <v>0.88300000000000001</v>
      </c>
      <c r="I50" s="23">
        <v>0.85299999999999998</v>
      </c>
      <c r="J50" s="23">
        <v>0.878</v>
      </c>
      <c r="K50" s="23">
        <v>0.9</v>
      </c>
      <c r="L50" s="23">
        <v>0.90790000000000004</v>
      </c>
      <c r="R50" s="46">
        <v>0.92</v>
      </c>
      <c r="S50" s="23">
        <v>0.878</v>
      </c>
      <c r="T50" s="23">
        <v>0.90090000000000003</v>
      </c>
      <c r="U50" s="23">
        <v>0.90839999999999999</v>
      </c>
      <c r="V50" s="23">
        <v>0.89390000000000003</v>
      </c>
      <c r="W50" s="11"/>
      <c r="X50" s="64">
        <v>0.89539999999999997</v>
      </c>
      <c r="Y50" s="23">
        <v>0.89659999999999995</v>
      </c>
      <c r="Z50" s="11"/>
      <c r="AA50" s="32">
        <v>0.9</v>
      </c>
      <c r="AB50" s="33"/>
      <c r="AC50" s="85">
        <v>9506</v>
      </c>
      <c r="AD50" s="80">
        <v>8268</v>
      </c>
      <c r="AE50" s="80">
        <v>8727</v>
      </c>
      <c r="AF50" s="27">
        <v>8543</v>
      </c>
      <c r="AG50" s="39">
        <v>9320</v>
      </c>
      <c r="AH50" s="39">
        <v>9537</v>
      </c>
      <c r="AI50" s="39">
        <v>8851</v>
      </c>
      <c r="AJ50" s="39">
        <v>7795</v>
      </c>
      <c r="AK50" s="39">
        <v>7773</v>
      </c>
      <c r="AL50" s="63">
        <v>8410</v>
      </c>
      <c r="AM50" s="63">
        <v>7710</v>
      </c>
      <c r="AN50" s="63">
        <v>7136</v>
      </c>
      <c r="AO50" s="63">
        <v>8422</v>
      </c>
      <c r="AP50" s="63">
        <v>7494</v>
      </c>
      <c r="AQ50" s="134" t="s">
        <v>79</v>
      </c>
      <c r="AR50" s="63" t="s">
        <v>79</v>
      </c>
      <c r="AT50" s="125">
        <v>1720</v>
      </c>
      <c r="AU50" s="125">
        <v>1839</v>
      </c>
      <c r="AV50" s="125">
        <v>1843</v>
      </c>
      <c r="AW50" s="125">
        <v>1790</v>
      </c>
      <c r="AX50" s="11"/>
      <c r="AY50" s="125">
        <v>7519</v>
      </c>
      <c r="AZ50" s="63">
        <v>7989</v>
      </c>
      <c r="BA50" s="11"/>
      <c r="BB50" s="101" t="s">
        <v>33</v>
      </c>
    </row>
    <row r="51" spans="1:54">
      <c r="A51" s="149"/>
      <c r="B51" s="191"/>
      <c r="C51" s="3" t="s">
        <v>82</v>
      </c>
      <c r="D51" s="28"/>
      <c r="E51" s="28"/>
      <c r="F51" s="28"/>
      <c r="G51" s="14"/>
      <c r="I51" s="28"/>
      <c r="J51" s="28"/>
      <c r="K51" s="28"/>
      <c r="L51" s="14"/>
      <c r="R51" s="28"/>
      <c r="S51" s="28"/>
      <c r="T51" s="28"/>
      <c r="U51" s="14"/>
      <c r="V51" s="14"/>
      <c r="W51" s="11"/>
      <c r="X51" s="28"/>
      <c r="Y51" s="28"/>
      <c r="Z51" s="11"/>
      <c r="AA51" s="33"/>
      <c r="AB51" s="33"/>
      <c r="AC51" s="85">
        <v>3311</v>
      </c>
      <c r="AD51" s="80">
        <v>3675</v>
      </c>
      <c r="AE51" s="80">
        <v>3512</v>
      </c>
      <c r="AF51" s="27">
        <v>3098</v>
      </c>
      <c r="AG51" s="39">
        <v>3301</v>
      </c>
      <c r="AH51" s="39">
        <v>2385</v>
      </c>
      <c r="AI51" s="39">
        <v>3602</v>
      </c>
      <c r="AJ51" s="39">
        <v>3247</v>
      </c>
      <c r="AK51" s="39">
        <v>3530</v>
      </c>
      <c r="AL51" s="63">
        <v>3647</v>
      </c>
      <c r="AM51" s="63">
        <v>3054</v>
      </c>
      <c r="AN51" s="63">
        <v>2183</v>
      </c>
      <c r="AO51" s="63">
        <v>3249</v>
      </c>
      <c r="AP51" s="63">
        <v>2580</v>
      </c>
      <c r="AQ51" s="132" t="s">
        <v>79</v>
      </c>
      <c r="AR51" s="63" t="s">
        <v>79</v>
      </c>
      <c r="AT51" s="156">
        <v>383</v>
      </c>
      <c r="AU51" s="156">
        <v>517</v>
      </c>
      <c r="AV51" s="156">
        <v>425</v>
      </c>
      <c r="AW51" s="156">
        <v>577</v>
      </c>
      <c r="AX51" s="30"/>
      <c r="AY51" s="156">
        <v>2006</v>
      </c>
      <c r="AZ51" s="63">
        <v>2125</v>
      </c>
      <c r="BA51" s="11"/>
      <c r="BB51" s="101" t="s">
        <v>33</v>
      </c>
    </row>
    <row r="52" spans="1:54">
      <c r="A52" s="149"/>
      <c r="B52" s="192"/>
      <c r="C52" s="3" t="s">
        <v>83</v>
      </c>
      <c r="D52" s="23">
        <v>0.95269999999999999</v>
      </c>
      <c r="E52" s="23">
        <v>0.9536</v>
      </c>
      <c r="F52" s="23">
        <v>0.95299999999999996</v>
      </c>
      <c r="G52" s="23">
        <v>0.95350000000000001</v>
      </c>
      <c r="I52" s="23">
        <v>0.95420000000000005</v>
      </c>
      <c r="J52" s="23">
        <v>0.95340000000000003</v>
      </c>
      <c r="K52" s="23">
        <v>0.9506</v>
      </c>
      <c r="L52" s="23">
        <v>0.94930000000000003</v>
      </c>
      <c r="R52" s="46">
        <v>0.95309999999999995</v>
      </c>
      <c r="S52" s="23">
        <v>0.9506</v>
      </c>
      <c r="T52" s="23">
        <v>0.94879999999999998</v>
      </c>
      <c r="U52" s="23">
        <v>0.94979999999999998</v>
      </c>
      <c r="V52" s="23">
        <v>0.94820000000000004</v>
      </c>
      <c r="W52" s="11"/>
      <c r="X52" s="24">
        <v>0.94820000000000004</v>
      </c>
      <c r="Y52" s="23">
        <v>0.95130000000000003</v>
      </c>
      <c r="Z52" s="11"/>
      <c r="AA52" s="32">
        <v>0.9</v>
      </c>
      <c r="AB52" s="33"/>
      <c r="AC52" s="85" t="s">
        <v>33</v>
      </c>
      <c r="AD52" s="80" t="s">
        <v>33</v>
      </c>
      <c r="AE52" s="85" t="s">
        <v>33</v>
      </c>
      <c r="AF52" s="80" t="s">
        <v>33</v>
      </c>
      <c r="AG52" s="85" t="s">
        <v>33</v>
      </c>
      <c r="AH52" s="80" t="s">
        <v>33</v>
      </c>
      <c r="AI52" s="85" t="s">
        <v>33</v>
      </c>
      <c r="AJ52" s="80" t="s">
        <v>33</v>
      </c>
      <c r="AK52" s="85" t="s">
        <v>33</v>
      </c>
      <c r="AL52" s="80" t="s">
        <v>33</v>
      </c>
      <c r="AM52" s="85" t="s">
        <v>33</v>
      </c>
      <c r="AN52" s="80" t="s">
        <v>33</v>
      </c>
      <c r="AO52" s="85" t="s">
        <v>33</v>
      </c>
      <c r="AP52" s="80" t="s">
        <v>33</v>
      </c>
      <c r="AQ52" s="85" t="s">
        <v>33</v>
      </c>
      <c r="AR52" s="80" t="s">
        <v>33</v>
      </c>
      <c r="AT52" s="117">
        <v>96</v>
      </c>
      <c r="AU52" s="117">
        <v>108</v>
      </c>
      <c r="AV52" s="117">
        <v>66</v>
      </c>
      <c r="AW52" s="117">
        <v>87</v>
      </c>
      <c r="AX52" s="30"/>
      <c r="AY52" s="117">
        <v>384</v>
      </c>
      <c r="AZ52" s="63" t="s">
        <v>33</v>
      </c>
      <c r="BA52" s="11"/>
      <c r="BB52" s="101" t="s">
        <v>33</v>
      </c>
    </row>
    <row r="53" spans="1:54">
      <c r="A53" s="149"/>
      <c r="B53" s="4"/>
      <c r="I53" s="11"/>
      <c r="J53" s="11"/>
      <c r="K53" s="11"/>
      <c r="L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73"/>
      <c r="AD53" s="73"/>
      <c r="AE53" s="73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BA53" s="11"/>
      <c r="BB53" s="11"/>
    </row>
    <row r="54" spans="1:54">
      <c r="A54" s="149"/>
      <c r="B54" s="183" t="s">
        <v>38</v>
      </c>
      <c r="C54" s="170" t="s">
        <v>84</v>
      </c>
      <c r="D54" s="23">
        <v>8.3000000000000004E-2</v>
      </c>
      <c r="E54" s="23">
        <v>8.3900000000000002E-2</v>
      </c>
      <c r="F54" s="23">
        <v>8.6900000000000005E-2</v>
      </c>
      <c r="G54" s="23">
        <v>7.4300000000000005E-2</v>
      </c>
      <c r="I54" s="23">
        <v>7.3200000000000001E-2</v>
      </c>
      <c r="J54" s="23">
        <v>7.3899999999999993E-2</v>
      </c>
      <c r="K54" s="23">
        <v>7.17E-2</v>
      </c>
      <c r="L54" s="44">
        <v>3.4599999999999999E-2</v>
      </c>
      <c r="R54" s="52">
        <v>7.1300000000000002E-2</v>
      </c>
      <c r="S54" s="23">
        <v>6.9500000000000006E-2</v>
      </c>
      <c r="T54" s="23">
        <v>6.7699999999999996E-2</v>
      </c>
      <c r="U54" s="44">
        <v>6.5500000000000003E-2</v>
      </c>
      <c r="V54" s="44">
        <v>6.4899999999999999E-2</v>
      </c>
      <c r="W54" s="11"/>
      <c r="X54" s="24">
        <f>V54</f>
        <v>6.4899999999999999E-2</v>
      </c>
      <c r="Y54" s="23">
        <v>6.6699999999999995E-2</v>
      </c>
      <c r="Z54" s="11"/>
      <c r="AA54" s="25" t="s">
        <v>68</v>
      </c>
      <c r="AB54" s="14"/>
      <c r="AC54" s="83">
        <v>0.66849999999999998</v>
      </c>
      <c r="AD54" s="84">
        <v>0.66930000000000001</v>
      </c>
      <c r="AE54" s="84">
        <v>0.71779999999999999</v>
      </c>
      <c r="AF54" s="23">
        <v>0.71860000000000002</v>
      </c>
      <c r="AG54" s="69">
        <v>0.72599999999999998</v>
      </c>
      <c r="AH54" s="69">
        <v>0.76200000000000001</v>
      </c>
      <c r="AI54" s="69">
        <v>0.79459999999999997</v>
      </c>
      <c r="AJ54" s="69">
        <v>0.745</v>
      </c>
      <c r="AK54" s="69">
        <v>0.75439999999999996</v>
      </c>
      <c r="AL54" s="69">
        <v>0.79</v>
      </c>
      <c r="AM54" s="69">
        <v>0.79079999999999995</v>
      </c>
      <c r="AN54" s="69">
        <v>0.74819999999999998</v>
      </c>
      <c r="AO54" s="69">
        <v>0.73050000000000004</v>
      </c>
      <c r="AP54" s="123">
        <v>0.79300000000000004</v>
      </c>
      <c r="AQ54" s="69" t="s">
        <v>79</v>
      </c>
      <c r="AR54" s="69" t="s">
        <v>79</v>
      </c>
      <c r="AT54" s="104">
        <v>0.75919999999999999</v>
      </c>
      <c r="AU54" s="104">
        <v>0.76600000000000001</v>
      </c>
      <c r="AV54" s="104">
        <v>0.77710000000000001</v>
      </c>
      <c r="AW54" s="104">
        <v>0.78649999999999998</v>
      </c>
      <c r="AX54" s="11"/>
      <c r="AY54" s="104">
        <v>0.77239999999999998</v>
      </c>
      <c r="AZ54" s="69">
        <v>0.7772</v>
      </c>
      <c r="BA54" s="11"/>
      <c r="BB54" s="124">
        <v>0.85</v>
      </c>
    </row>
    <row r="55" spans="1:54">
      <c r="A55" s="149"/>
      <c r="B55" s="191"/>
      <c r="C55" s="171" t="s">
        <v>85</v>
      </c>
      <c r="D55" s="20">
        <v>2145</v>
      </c>
      <c r="E55" s="19">
        <v>2038</v>
      </c>
      <c r="F55" s="19">
        <v>1936</v>
      </c>
      <c r="G55" s="20">
        <v>1140</v>
      </c>
      <c r="I55" s="20">
        <v>1558</v>
      </c>
      <c r="J55" s="19">
        <v>1903</v>
      </c>
      <c r="K55" s="19">
        <v>1538</v>
      </c>
      <c r="L55" s="36">
        <v>3440</v>
      </c>
      <c r="R55" s="54">
        <v>1191</v>
      </c>
      <c r="S55" s="36">
        <v>2344</v>
      </c>
      <c r="T55" s="36">
        <v>2874</v>
      </c>
      <c r="U55" s="36">
        <v>2295</v>
      </c>
      <c r="V55" s="36">
        <v>2884</v>
      </c>
      <c r="W55" s="11"/>
      <c r="X55" s="25">
        <f t="shared" ref="X55:X58" si="0">V55</f>
        <v>2884</v>
      </c>
      <c r="Y55" s="20">
        <v>2423</v>
      </c>
      <c r="Z55" s="11"/>
      <c r="AA55" s="34" t="s">
        <v>33</v>
      </c>
      <c r="AB55" s="72"/>
      <c r="AC55" s="83">
        <v>0.4763</v>
      </c>
      <c r="AD55" s="82">
        <v>0.4264</v>
      </c>
      <c r="AE55" s="82">
        <v>0.46920000000000001</v>
      </c>
      <c r="AF55" s="23">
        <v>0.49480000000000002</v>
      </c>
      <c r="AG55" s="69">
        <v>0.47649999999999998</v>
      </c>
      <c r="AH55" s="43">
        <v>0.53580000000000005</v>
      </c>
      <c r="AI55" s="43">
        <v>0.54830000000000001</v>
      </c>
      <c r="AJ55" s="43">
        <v>0.60940000000000005</v>
      </c>
      <c r="AK55" s="43">
        <v>0.67400000000000004</v>
      </c>
      <c r="AL55" s="43">
        <v>0.67069999999999996</v>
      </c>
      <c r="AM55" s="43">
        <v>0.69679999999999997</v>
      </c>
      <c r="AN55" s="43">
        <v>0.69650000000000001</v>
      </c>
      <c r="AO55" s="43">
        <v>0.55379999999999996</v>
      </c>
      <c r="AP55" s="43">
        <v>0.51380000000000003</v>
      </c>
      <c r="AQ55" s="43" t="s">
        <v>79</v>
      </c>
      <c r="AR55" s="43" t="s">
        <v>79</v>
      </c>
      <c r="AT55" s="69">
        <v>0.38740000000000002</v>
      </c>
      <c r="AU55" s="69">
        <v>0.45650000000000002</v>
      </c>
      <c r="AV55" s="69">
        <v>0.4753</v>
      </c>
      <c r="AW55" s="69">
        <v>0.41320000000000001</v>
      </c>
      <c r="AX55" s="11"/>
      <c r="AY55" s="69">
        <v>0.4284</v>
      </c>
      <c r="AZ55" s="69">
        <v>0.44979999999999998</v>
      </c>
      <c r="BA55" s="11"/>
      <c r="BB55" s="115">
        <v>0.85</v>
      </c>
    </row>
    <row r="56" spans="1:54">
      <c r="A56" s="149"/>
      <c r="B56" s="184"/>
      <c r="C56" s="3" t="s">
        <v>86</v>
      </c>
      <c r="D56" s="41">
        <v>45</v>
      </c>
      <c r="E56" s="20">
        <v>43</v>
      </c>
      <c r="F56" s="20">
        <v>39</v>
      </c>
      <c r="G56" s="20">
        <v>35.729999999999997</v>
      </c>
      <c r="I56" s="20">
        <v>134.5</v>
      </c>
      <c r="J56" s="20">
        <v>137.09</v>
      </c>
      <c r="K56" s="20">
        <v>118.04</v>
      </c>
      <c r="L56" s="36">
        <v>9.6</v>
      </c>
      <c r="R56" s="59">
        <v>143.6</v>
      </c>
      <c r="S56" s="60">
        <v>113.7</v>
      </c>
      <c r="T56" s="20">
        <v>114.6</v>
      </c>
      <c r="U56" s="36">
        <v>131.9</v>
      </c>
      <c r="V56" s="36">
        <v>124.6</v>
      </c>
      <c r="W56" s="11"/>
      <c r="X56" s="25">
        <f t="shared" si="0"/>
        <v>124.6</v>
      </c>
      <c r="Y56" s="20">
        <v>140.81</v>
      </c>
      <c r="Z56" s="11"/>
      <c r="AA56" s="34" t="s">
        <v>33</v>
      </c>
      <c r="AB56" s="72"/>
      <c r="AC56" s="83" t="s">
        <v>33</v>
      </c>
      <c r="AD56" s="82" t="s">
        <v>33</v>
      </c>
      <c r="AE56" s="83" t="s">
        <v>33</v>
      </c>
      <c r="AF56" s="82" t="s">
        <v>33</v>
      </c>
      <c r="AG56" s="83" t="s">
        <v>33</v>
      </c>
      <c r="AH56" s="82" t="s">
        <v>33</v>
      </c>
      <c r="AI56" s="83" t="s">
        <v>33</v>
      </c>
      <c r="AJ56" s="82" t="s">
        <v>33</v>
      </c>
      <c r="AK56" s="83" t="s">
        <v>33</v>
      </c>
      <c r="AL56" s="82" t="s">
        <v>33</v>
      </c>
      <c r="AM56" s="83" t="s">
        <v>33</v>
      </c>
      <c r="AN56" s="82" t="s">
        <v>33</v>
      </c>
      <c r="AO56" s="83" t="s">
        <v>33</v>
      </c>
      <c r="AP56" s="82" t="s">
        <v>33</v>
      </c>
      <c r="AQ56" s="83" t="s">
        <v>33</v>
      </c>
      <c r="AR56" s="82" t="s">
        <v>33</v>
      </c>
      <c r="AT56" s="119">
        <v>0.92500000000000004</v>
      </c>
      <c r="AU56" s="119">
        <v>0.83330000000000004</v>
      </c>
      <c r="AV56" s="119">
        <v>0.8478</v>
      </c>
      <c r="AW56" s="119">
        <v>0.78049999999999997</v>
      </c>
      <c r="AX56" s="11"/>
      <c r="AY56" s="119">
        <v>0.84909999999999997</v>
      </c>
      <c r="AZ56" s="69" t="s">
        <v>33</v>
      </c>
      <c r="BA56" s="11"/>
      <c r="BB56" s="115" t="s">
        <v>33</v>
      </c>
    </row>
    <row r="57" spans="1:54">
      <c r="A57" s="149"/>
      <c r="D57" s="36">
        <v>305</v>
      </c>
      <c r="E57" s="36">
        <v>796</v>
      </c>
      <c r="F57" s="36">
        <v>784</v>
      </c>
      <c r="G57" s="36">
        <v>748</v>
      </c>
      <c r="I57" s="36">
        <v>694</v>
      </c>
      <c r="J57" s="36">
        <v>844</v>
      </c>
      <c r="K57" s="36">
        <v>810</v>
      </c>
      <c r="L57" s="36">
        <v>2820</v>
      </c>
      <c r="R57" s="61">
        <v>583</v>
      </c>
      <c r="S57" s="36">
        <v>1175</v>
      </c>
      <c r="T57" s="36">
        <v>1803</v>
      </c>
      <c r="U57" s="36">
        <v>1913</v>
      </c>
      <c r="V57" s="36">
        <v>2710</v>
      </c>
      <c r="W57" s="30"/>
      <c r="X57" s="25">
        <f t="shared" si="0"/>
        <v>2710</v>
      </c>
      <c r="Y57" s="36">
        <v>2820</v>
      </c>
      <c r="Z57" s="11"/>
      <c r="AA57" s="34" t="s">
        <v>33</v>
      </c>
      <c r="AB57" s="72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>
      <c r="A58" s="149"/>
      <c r="B58" s="5" t="s">
        <v>87</v>
      </c>
      <c r="C58" s="5" t="s">
        <v>88</v>
      </c>
      <c r="D58" s="20">
        <v>61.2</v>
      </c>
      <c r="E58" s="20">
        <v>121.24</v>
      </c>
      <c r="F58" s="20">
        <v>120.86</v>
      </c>
      <c r="G58" s="20">
        <v>120.16</v>
      </c>
      <c r="I58" s="20">
        <v>133.27000000000001</v>
      </c>
      <c r="J58" s="20">
        <v>124.1</v>
      </c>
      <c r="K58" s="20">
        <v>127.9</v>
      </c>
      <c r="L58" s="36">
        <v>12.3</v>
      </c>
      <c r="R58" s="45">
        <v>140.69999999999999</v>
      </c>
      <c r="S58" s="20">
        <v>132.80000000000001</v>
      </c>
      <c r="T58" s="20">
        <v>134.30000000000001</v>
      </c>
      <c r="U58" s="36">
        <v>160.69999999999999</v>
      </c>
      <c r="V58" s="36">
        <v>137.80000000000001</v>
      </c>
      <c r="W58" s="11"/>
      <c r="X58" s="25">
        <f t="shared" si="0"/>
        <v>137.80000000000001</v>
      </c>
      <c r="Y58" s="20">
        <v>139.19999999999999</v>
      </c>
      <c r="Z58" s="11"/>
      <c r="AA58" s="34" t="s">
        <v>33</v>
      </c>
      <c r="AB58" s="72"/>
      <c r="AC58" s="83">
        <v>0.88100000000000001</v>
      </c>
      <c r="AD58" s="84">
        <v>0.878</v>
      </c>
      <c r="AE58" s="84">
        <v>0.88500000000000001</v>
      </c>
      <c r="AF58" s="23">
        <v>0.89659999999999995</v>
      </c>
      <c r="AG58" s="69">
        <v>0.89539999999999997</v>
      </c>
      <c r="AH58" s="69">
        <v>0.91439999999999999</v>
      </c>
      <c r="AI58" s="69">
        <v>0.89539999999999997</v>
      </c>
      <c r="AJ58" s="69">
        <v>0.90739999999999998</v>
      </c>
      <c r="AK58" s="69">
        <v>0.89749999999999996</v>
      </c>
      <c r="AL58" s="106">
        <v>0.91159999999999997</v>
      </c>
      <c r="AM58" s="106">
        <v>0.89419999999999999</v>
      </c>
      <c r="AN58" s="106">
        <v>0.88219999999999998</v>
      </c>
      <c r="AO58" s="106">
        <v>0.89119999999999999</v>
      </c>
      <c r="AP58" s="145">
        <v>0.91200000000000003</v>
      </c>
      <c r="AQ58" s="106">
        <v>0.90269999999999995</v>
      </c>
      <c r="AR58" s="106">
        <v>0.89670000000000005</v>
      </c>
      <c r="AT58" s="69">
        <v>0.876</v>
      </c>
      <c r="AU58" s="69">
        <v>0.8871</v>
      </c>
      <c r="AV58" s="69">
        <v>0.89649999999999996</v>
      </c>
      <c r="AW58" s="69">
        <v>0.90480000000000005</v>
      </c>
      <c r="AX58" s="11"/>
      <c r="AY58" s="69">
        <v>0.89090000000000003</v>
      </c>
      <c r="AZ58" s="106">
        <v>0.89800000000000002</v>
      </c>
      <c r="BA58" s="11"/>
      <c r="BB58" s="124">
        <v>0.9</v>
      </c>
    </row>
    <row r="59" spans="1:54">
      <c r="A59" s="149"/>
      <c r="B59" s="4"/>
      <c r="C59" s="4"/>
      <c r="I59" s="11"/>
      <c r="J59" s="11"/>
      <c r="K59" s="11"/>
      <c r="L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73"/>
      <c r="AD59" s="73"/>
      <c r="AE59" s="73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T59" s="11"/>
      <c r="AU59" s="11"/>
      <c r="AV59" s="11"/>
      <c r="AW59" s="11"/>
      <c r="AX59" s="11"/>
      <c r="AY59" s="11"/>
      <c r="AZ59" s="11"/>
      <c r="BA59" s="11"/>
      <c r="BB59" s="127"/>
    </row>
    <row r="60" spans="1:54" ht="15" customHeight="1">
      <c r="A60" s="149"/>
      <c r="B60" s="5" t="s">
        <v>73</v>
      </c>
      <c r="C60" s="5" t="s">
        <v>89</v>
      </c>
      <c r="D60" s="27">
        <v>621</v>
      </c>
      <c r="E60" s="27">
        <v>836</v>
      </c>
      <c r="F60" s="27">
        <v>1096</v>
      </c>
      <c r="G60" s="27">
        <v>815</v>
      </c>
      <c r="I60" s="27">
        <v>875</v>
      </c>
      <c r="J60" s="27">
        <v>829</v>
      </c>
      <c r="K60" s="27">
        <v>1222</v>
      </c>
      <c r="L60" s="27">
        <v>1072</v>
      </c>
      <c r="R60" s="49">
        <v>789</v>
      </c>
      <c r="S60" s="27">
        <v>1028</v>
      </c>
      <c r="T60" s="27">
        <v>1006</v>
      </c>
      <c r="U60" s="27">
        <v>900</v>
      </c>
      <c r="V60" s="27">
        <v>964</v>
      </c>
      <c r="W60" s="11"/>
      <c r="X60" s="25">
        <f>SUM(R60:V60)</f>
        <v>4687</v>
      </c>
      <c r="Y60" s="27">
        <v>4845</v>
      </c>
      <c r="Z60" s="11"/>
      <c r="AA60" s="25">
        <v>3344</v>
      </c>
      <c r="AB60" s="14"/>
      <c r="AC60" s="83">
        <v>0.95409999999999995</v>
      </c>
      <c r="AD60" s="84">
        <v>0.95269999999999999</v>
      </c>
      <c r="AE60" s="84">
        <v>0.9546</v>
      </c>
      <c r="AF60" s="23">
        <v>0.95130000000000003</v>
      </c>
      <c r="AG60" s="69">
        <v>0.94820000000000004</v>
      </c>
      <c r="AH60" s="69">
        <v>0.94620000000000004</v>
      </c>
      <c r="AI60" s="69">
        <v>0.94669999999999999</v>
      </c>
      <c r="AJ60" s="69">
        <v>0.94079999999999997</v>
      </c>
      <c r="AK60" s="69">
        <v>0.94159999999999999</v>
      </c>
      <c r="AL60" s="69">
        <v>0.94410000000000005</v>
      </c>
      <c r="AM60" s="69">
        <v>0.94779999999999998</v>
      </c>
      <c r="AN60" s="69">
        <v>0.95530000000000004</v>
      </c>
      <c r="AO60" s="69">
        <v>0.95979999999999999</v>
      </c>
      <c r="AP60" s="123">
        <v>0.94869999999999999</v>
      </c>
      <c r="AQ60" s="69">
        <v>0.95889999999999997</v>
      </c>
      <c r="AR60" s="69">
        <v>0.96220000000000006</v>
      </c>
      <c r="AT60" s="122">
        <v>0.95850000000000002</v>
      </c>
      <c r="AU60" s="122">
        <v>0.95640000000000003</v>
      </c>
      <c r="AV60" s="122">
        <v>0.95440000000000003</v>
      </c>
      <c r="AW60" s="122">
        <v>0.95940000000000003</v>
      </c>
      <c r="AX60" s="11"/>
      <c r="AY60" s="122">
        <v>0.95709999999999995</v>
      </c>
      <c r="AZ60" s="42">
        <v>0.95720000000000005</v>
      </c>
      <c r="BA60" s="11"/>
      <c r="BB60" s="124">
        <v>0.9</v>
      </c>
    </row>
    <row r="61" spans="1:54">
      <c r="A61" s="149"/>
      <c r="B61" s="4"/>
      <c r="C61" s="4"/>
      <c r="D61" s="20">
        <v>181</v>
      </c>
      <c r="E61" s="20">
        <v>1043</v>
      </c>
      <c r="F61" s="19">
        <v>1042</v>
      </c>
      <c r="G61" s="20">
        <v>981</v>
      </c>
      <c r="I61" s="20">
        <v>851</v>
      </c>
      <c r="J61" s="20">
        <v>1000</v>
      </c>
      <c r="K61" s="19">
        <v>1526</v>
      </c>
      <c r="L61" s="20">
        <v>1159</v>
      </c>
      <c r="R61" s="53">
        <v>204</v>
      </c>
      <c r="S61" s="20">
        <v>830</v>
      </c>
      <c r="T61" s="19">
        <v>948</v>
      </c>
      <c r="U61" s="20">
        <v>939</v>
      </c>
      <c r="V61" s="20">
        <v>860</v>
      </c>
      <c r="W61" s="11"/>
      <c r="X61" s="25">
        <f>SUM(R61:V61)</f>
        <v>3781</v>
      </c>
      <c r="Y61" s="20">
        <v>3431</v>
      </c>
      <c r="Z61" s="11"/>
      <c r="AA61" s="26">
        <v>3520</v>
      </c>
      <c r="AB61" s="14"/>
      <c r="BA61" s="11"/>
      <c r="BB61" s="11"/>
    </row>
    <row r="62" spans="1:54">
      <c r="A62" s="164"/>
      <c r="B62" s="172" t="s">
        <v>90</v>
      </c>
      <c r="C62" s="5" t="s">
        <v>91</v>
      </c>
      <c r="I62" s="11"/>
      <c r="J62" s="11"/>
      <c r="K62" s="11"/>
      <c r="L62" s="11"/>
      <c r="R62" s="11"/>
      <c r="S62" s="11"/>
      <c r="T62" s="11"/>
      <c r="U62" s="11"/>
      <c r="V62" s="11"/>
      <c r="W62" s="11"/>
      <c r="X62" s="14"/>
      <c r="Y62" s="11"/>
      <c r="Z62" s="11"/>
      <c r="AA62" s="14"/>
      <c r="AB62" s="14"/>
      <c r="AC62" s="83">
        <v>5.9400000000000001E-2</v>
      </c>
      <c r="AD62" s="83">
        <v>8.5800000000000001E-2</v>
      </c>
      <c r="AE62" s="83">
        <v>8.2025000000000015E-2</v>
      </c>
      <c r="AF62" s="23">
        <v>6.6699999999999995E-2</v>
      </c>
      <c r="AG62" s="23">
        <v>6.4899999999999999E-2</v>
      </c>
      <c r="AH62" s="23">
        <v>6.3299999999999995E-2</v>
      </c>
      <c r="AI62" s="23">
        <v>5.6800000000000003E-2</v>
      </c>
      <c r="AJ62" s="23">
        <v>5.8299999999999998E-2</v>
      </c>
      <c r="AK62" s="23">
        <v>5.7700000000000001E-2</v>
      </c>
      <c r="AL62" s="42">
        <v>5.3499999999999999E-2</v>
      </c>
      <c r="AM62" s="42">
        <v>5.7200000000000001E-2</v>
      </c>
      <c r="AN62" s="42">
        <v>6.0400000000000002E-2</v>
      </c>
      <c r="AO62" s="42">
        <v>6.13E-2</v>
      </c>
      <c r="AP62" s="42">
        <v>5.4199999999999998E-2</v>
      </c>
      <c r="AQ62" s="42" t="s">
        <v>79</v>
      </c>
      <c r="AR62" s="42" t="s">
        <v>79</v>
      </c>
      <c r="AT62" s="69">
        <v>4.53E-2</v>
      </c>
      <c r="AU62" s="69">
        <v>4.3499999999999997E-2</v>
      </c>
      <c r="AV62" s="69">
        <v>4.24E-2</v>
      </c>
      <c r="AW62" s="69">
        <v>4.0500000000000001E-2</v>
      </c>
      <c r="AX62" s="11"/>
      <c r="AY62" s="69">
        <v>4.0500000000000001E-2</v>
      </c>
      <c r="AZ62" s="42">
        <v>4.5499999999999999E-2</v>
      </c>
      <c r="BA62" s="11"/>
      <c r="BB62" s="63" t="s">
        <v>68</v>
      </c>
    </row>
    <row r="63" spans="1:54">
      <c r="A63" s="164"/>
      <c r="B63" s="173"/>
      <c r="C63" s="6" t="s">
        <v>92</v>
      </c>
      <c r="D63" s="23">
        <v>0.51859999999999995</v>
      </c>
      <c r="E63" s="23">
        <v>1.0621</v>
      </c>
      <c r="F63" s="23">
        <v>1.0911</v>
      </c>
      <c r="G63" s="23">
        <v>1.2037</v>
      </c>
      <c r="I63" s="23">
        <v>0.97260000000000002</v>
      </c>
      <c r="J63" s="23">
        <v>1.2062999999999999</v>
      </c>
      <c r="K63" s="23">
        <v>1.2487999999999999</v>
      </c>
      <c r="L63" s="23">
        <v>1.0811999999999999</v>
      </c>
      <c r="R63" s="46">
        <v>0.66290000000000004</v>
      </c>
      <c r="S63" s="23">
        <v>0.80789999999999995</v>
      </c>
      <c r="T63" s="23">
        <v>0.94230000000000003</v>
      </c>
      <c r="U63" s="44">
        <v>1.0432999999999999</v>
      </c>
      <c r="V63" s="44">
        <v>0.8921</v>
      </c>
      <c r="W63" s="11"/>
      <c r="X63" s="64">
        <v>0.90029999999999999</v>
      </c>
      <c r="Y63" s="23">
        <v>0.70820000000000005</v>
      </c>
      <c r="Z63" s="11"/>
      <c r="AA63" s="32">
        <v>0.9</v>
      </c>
      <c r="AB63" s="33"/>
      <c r="AC63" s="83" t="s">
        <v>33</v>
      </c>
      <c r="AD63" s="83" t="s">
        <v>33</v>
      </c>
      <c r="AE63" s="85">
        <v>7259</v>
      </c>
      <c r="AF63" s="20">
        <v>2423</v>
      </c>
      <c r="AG63" s="20">
        <v>2884</v>
      </c>
      <c r="AH63" s="20">
        <v>3383</v>
      </c>
      <c r="AI63" s="20">
        <v>2607</v>
      </c>
      <c r="AJ63" s="20">
        <v>2795</v>
      </c>
      <c r="AK63" s="20">
        <v>2425</v>
      </c>
      <c r="AL63" s="63">
        <v>2480</v>
      </c>
      <c r="AM63" s="63">
        <v>2690</v>
      </c>
      <c r="AN63" s="63">
        <v>2386</v>
      </c>
      <c r="AO63" s="63">
        <v>3174</v>
      </c>
      <c r="AP63" s="63">
        <v>2324</v>
      </c>
      <c r="AQ63" s="63" t="s">
        <v>79</v>
      </c>
      <c r="AR63" s="63" t="s">
        <v>79</v>
      </c>
      <c r="AT63" s="130">
        <v>1533</v>
      </c>
      <c r="AU63" s="130">
        <v>2223</v>
      </c>
      <c r="AV63" s="130">
        <v>2459</v>
      </c>
      <c r="AW63" s="130">
        <v>2803</v>
      </c>
      <c r="AX63" s="30"/>
      <c r="AY63" s="130">
        <v>2803</v>
      </c>
      <c r="AZ63" s="63">
        <v>2975</v>
      </c>
      <c r="BA63" s="11"/>
      <c r="BB63" s="128" t="s">
        <v>33</v>
      </c>
    </row>
    <row r="64" spans="1:54">
      <c r="A64" s="164"/>
      <c r="B64" s="173"/>
      <c r="C64" s="146" t="s">
        <v>93</v>
      </c>
      <c r="I64" s="11"/>
      <c r="J64" s="11"/>
      <c r="K64" s="11"/>
      <c r="L64" s="11"/>
      <c r="R64" s="11"/>
      <c r="S64" s="11"/>
      <c r="T64" s="11"/>
      <c r="U64" s="11"/>
      <c r="V64" s="11"/>
      <c r="W64" s="11"/>
      <c r="X64" s="14"/>
      <c r="Y64" s="11"/>
      <c r="Z64" s="11"/>
      <c r="AA64" s="14"/>
      <c r="AB64" s="14"/>
      <c r="AC64" s="83" t="s">
        <v>33</v>
      </c>
      <c r="AD64" s="83" t="s">
        <v>33</v>
      </c>
      <c r="AE64" s="85">
        <v>196.5</v>
      </c>
      <c r="AF64" s="20">
        <v>140.81</v>
      </c>
      <c r="AG64" s="20">
        <v>124.6</v>
      </c>
      <c r="AH64" s="20">
        <v>105.5</v>
      </c>
      <c r="AI64" s="20">
        <v>128.80000000000001</v>
      </c>
      <c r="AJ64" s="20">
        <v>126.52</v>
      </c>
      <c r="AK64" s="20">
        <v>130.61000000000001</v>
      </c>
      <c r="AL64" s="63">
        <v>138.19999999999999</v>
      </c>
      <c r="AM64" s="63">
        <v>137.44</v>
      </c>
      <c r="AN64" s="63">
        <v>122.12</v>
      </c>
      <c r="AO64" s="63">
        <v>142.05000000000001</v>
      </c>
      <c r="AP64" s="63">
        <v>164.33</v>
      </c>
      <c r="AQ64" s="63" t="s">
        <v>79</v>
      </c>
      <c r="AR64" s="63" t="s">
        <v>79</v>
      </c>
      <c r="AT64" s="129">
        <v>136.36000000000001</v>
      </c>
      <c r="AU64" s="129">
        <v>134.97</v>
      </c>
      <c r="AV64" s="129">
        <v>138.04</v>
      </c>
      <c r="AW64" s="129">
        <v>139.24</v>
      </c>
      <c r="AX64" s="30"/>
      <c r="AY64" s="129">
        <v>139.24</v>
      </c>
      <c r="AZ64" s="63">
        <v>135.9</v>
      </c>
      <c r="BA64" s="11"/>
      <c r="BB64" s="128" t="s">
        <v>33</v>
      </c>
    </row>
    <row r="65" spans="1:54">
      <c r="A65" s="164"/>
      <c r="B65" s="173"/>
      <c r="C65" s="147" t="s">
        <v>94</v>
      </c>
      <c r="D65" s="27">
        <v>19</v>
      </c>
      <c r="E65" s="27">
        <v>130</v>
      </c>
      <c r="F65" s="27">
        <v>320</v>
      </c>
      <c r="G65" s="27">
        <v>481</v>
      </c>
      <c r="I65" s="27">
        <v>88</v>
      </c>
      <c r="J65" s="27">
        <v>173</v>
      </c>
      <c r="K65" s="27">
        <v>419</v>
      </c>
      <c r="L65" s="27">
        <v>627</v>
      </c>
      <c r="R65" s="49">
        <v>403</v>
      </c>
      <c r="S65" s="27">
        <v>737</v>
      </c>
      <c r="T65" s="27">
        <v>763</v>
      </c>
      <c r="U65" s="27">
        <v>747</v>
      </c>
      <c r="V65" s="27">
        <v>747</v>
      </c>
      <c r="W65" s="11"/>
      <c r="X65" s="45">
        <v>747</v>
      </c>
      <c r="Y65" s="27">
        <v>316</v>
      </c>
      <c r="Z65" s="11"/>
      <c r="AA65" s="25">
        <v>1000</v>
      </c>
      <c r="AB65" s="14"/>
      <c r="AC65" s="83" t="s">
        <v>33</v>
      </c>
      <c r="AD65" s="83" t="s">
        <v>33</v>
      </c>
      <c r="AE65" s="85">
        <v>2633</v>
      </c>
      <c r="AF65" s="36">
        <v>2820</v>
      </c>
      <c r="AG65" s="36">
        <v>2710</v>
      </c>
      <c r="AH65" s="36">
        <v>2651</v>
      </c>
      <c r="AI65" s="36">
        <v>2513</v>
      </c>
      <c r="AJ65" s="36">
        <v>2905</v>
      </c>
      <c r="AK65" s="36">
        <v>2829</v>
      </c>
      <c r="AL65" s="63">
        <v>2340</v>
      </c>
      <c r="AM65" s="63">
        <v>2785</v>
      </c>
      <c r="AN65" s="63">
        <v>2837</v>
      </c>
      <c r="AO65" s="63">
        <v>2328</v>
      </c>
      <c r="AP65" s="63">
        <v>1926</v>
      </c>
      <c r="AQ65" s="63" t="s">
        <v>79</v>
      </c>
      <c r="AR65" s="63" t="s">
        <v>79</v>
      </c>
      <c r="AT65" s="107">
        <v>504</v>
      </c>
      <c r="AU65" s="117">
        <v>754</v>
      </c>
      <c r="AV65" s="117">
        <v>998</v>
      </c>
      <c r="AW65" s="117">
        <v>1236</v>
      </c>
      <c r="AX65" s="11"/>
      <c r="AY65" s="107">
        <v>1236</v>
      </c>
      <c r="AZ65" s="63">
        <v>1293</v>
      </c>
      <c r="BA65" s="11"/>
      <c r="BB65" s="128" t="s">
        <v>33</v>
      </c>
    </row>
    <row r="66" spans="1:54">
      <c r="A66" s="174"/>
      <c r="B66" s="175"/>
      <c r="C66" s="176" t="s">
        <v>95</v>
      </c>
      <c r="D66" s="22">
        <v>0.34589999999999999</v>
      </c>
      <c r="E66" s="22">
        <v>0.32440000000000002</v>
      </c>
      <c r="F66" s="22">
        <v>0.29289999999999999</v>
      </c>
      <c r="G66" s="22">
        <v>0.24740000000000001</v>
      </c>
      <c r="I66" s="22">
        <v>0.2873</v>
      </c>
      <c r="J66" s="22">
        <v>0.25240000000000001</v>
      </c>
      <c r="K66" s="22">
        <v>0.33829999999999999</v>
      </c>
      <c r="L66" s="22">
        <v>0.30059999999999998</v>
      </c>
      <c r="R66" s="50">
        <v>0.2586</v>
      </c>
      <c r="S66" s="22">
        <v>0.33739999999999998</v>
      </c>
      <c r="T66" s="22">
        <v>0.33329999999999999</v>
      </c>
      <c r="U66" s="22">
        <v>0.3155</v>
      </c>
      <c r="V66" s="22">
        <v>0.32969999999999999</v>
      </c>
      <c r="W66" s="11"/>
      <c r="X66" s="46">
        <v>0.32969999999999999</v>
      </c>
      <c r="Y66" s="22">
        <v>0.2175</v>
      </c>
      <c r="Z66" s="11"/>
      <c r="AA66" s="26" t="s">
        <v>96</v>
      </c>
      <c r="AB66" s="14"/>
      <c r="AC66" s="83" t="s">
        <v>33</v>
      </c>
      <c r="AD66" s="83" t="s">
        <v>33</v>
      </c>
      <c r="AE66" s="85">
        <v>169.1</v>
      </c>
      <c r="AF66" s="20">
        <v>139.19999999999999</v>
      </c>
      <c r="AG66" s="20">
        <v>137.80000000000001</v>
      </c>
      <c r="AH66" s="20">
        <v>138.5</v>
      </c>
      <c r="AI66" s="20">
        <v>148.19999999999999</v>
      </c>
      <c r="AJ66" s="20">
        <v>142.32</v>
      </c>
      <c r="AK66" s="20">
        <v>139.08000000000001</v>
      </c>
      <c r="AL66" s="63">
        <v>149.38</v>
      </c>
      <c r="AM66" s="63">
        <v>142.68</v>
      </c>
      <c r="AN66" s="63">
        <v>134.05000000000001</v>
      </c>
      <c r="AO66" s="63">
        <v>148.05000000000001</v>
      </c>
      <c r="AP66" s="63">
        <v>167.99</v>
      </c>
      <c r="AQ66" s="63" t="s">
        <v>79</v>
      </c>
      <c r="AR66" s="63" t="s">
        <v>79</v>
      </c>
      <c r="AT66" s="117">
        <v>198.47</v>
      </c>
      <c r="AU66" s="102">
        <v>203.74</v>
      </c>
      <c r="AV66" s="102">
        <v>206.86</v>
      </c>
      <c r="AW66" s="102">
        <v>208.52</v>
      </c>
      <c r="AX66" s="11"/>
      <c r="AY66" s="117">
        <v>208.52</v>
      </c>
      <c r="AZ66" s="108">
        <v>199.02</v>
      </c>
      <c r="BA66" s="11"/>
      <c r="BB66" s="128" t="s">
        <v>33</v>
      </c>
    </row>
    <row r="67" spans="1:54">
      <c r="B67" s="4"/>
      <c r="C67" s="4"/>
      <c r="D67" s="20">
        <v>5.77</v>
      </c>
      <c r="E67" s="20">
        <v>5.97</v>
      </c>
      <c r="F67" s="20">
        <v>6.33</v>
      </c>
      <c r="G67" s="20">
        <v>7.42</v>
      </c>
      <c r="I67" s="36">
        <v>6.19</v>
      </c>
      <c r="J67" s="36">
        <v>6.22</v>
      </c>
      <c r="K67" s="36">
        <v>6.18</v>
      </c>
      <c r="L67" s="36">
        <v>7.55</v>
      </c>
      <c r="R67" s="55">
        <v>3.97</v>
      </c>
      <c r="S67" s="36">
        <v>5.0199999999999996</v>
      </c>
      <c r="T67" s="36">
        <v>5.58</v>
      </c>
      <c r="U67" s="36">
        <v>5.67</v>
      </c>
      <c r="V67" s="36">
        <v>5.71</v>
      </c>
      <c r="W67" s="30"/>
      <c r="X67" s="58">
        <v>5.71</v>
      </c>
      <c r="Y67" s="36">
        <v>8.67</v>
      </c>
      <c r="Z67" s="11"/>
      <c r="AA67" s="26" t="s">
        <v>97</v>
      </c>
      <c r="AB67" s="14"/>
      <c r="BA67" s="11"/>
      <c r="BB67" s="11"/>
    </row>
    <row r="68" spans="1:54" ht="15" customHeight="1">
      <c r="A68" s="148" t="s">
        <v>98</v>
      </c>
      <c r="B68" s="183" t="s">
        <v>99</v>
      </c>
      <c r="C68" s="2" t="s">
        <v>78</v>
      </c>
      <c r="I68" s="11"/>
      <c r="J68" s="11"/>
      <c r="K68" s="11"/>
      <c r="L68" s="11"/>
      <c r="R68" s="11"/>
      <c r="S68" s="11"/>
      <c r="T68" s="11"/>
      <c r="U68" s="11"/>
      <c r="V68" s="11"/>
      <c r="W68" s="11"/>
      <c r="X68" s="14"/>
      <c r="Y68" s="11"/>
      <c r="Z68" s="11"/>
      <c r="AA68" s="14"/>
      <c r="AB68" s="14"/>
      <c r="AC68" s="76" t="s">
        <v>33</v>
      </c>
      <c r="AD68" s="77" t="s">
        <v>33</v>
      </c>
      <c r="AE68" s="77" t="s">
        <v>33</v>
      </c>
      <c r="AF68" s="27">
        <v>4845</v>
      </c>
      <c r="AG68" s="39">
        <v>4687</v>
      </c>
      <c r="AH68" s="39">
        <v>3538</v>
      </c>
      <c r="AI68" s="39">
        <v>3790</v>
      </c>
      <c r="AJ68" s="39">
        <v>3986</v>
      </c>
      <c r="AK68" s="39">
        <v>4204</v>
      </c>
      <c r="AL68" s="63">
        <v>4391</v>
      </c>
      <c r="AM68" s="63">
        <v>4003</v>
      </c>
      <c r="AN68" s="63">
        <v>4255</v>
      </c>
      <c r="AO68" s="63">
        <v>4892</v>
      </c>
      <c r="AP68" s="63">
        <v>4346</v>
      </c>
      <c r="AQ68" s="63">
        <v>4434</v>
      </c>
      <c r="AR68" s="63">
        <v>4012</v>
      </c>
      <c r="AT68" s="117">
        <v>985</v>
      </c>
      <c r="AU68" s="117">
        <v>883</v>
      </c>
      <c r="AV68" s="117">
        <v>658</v>
      </c>
      <c r="AW68" s="117">
        <v>929</v>
      </c>
      <c r="AY68" s="117">
        <v>3472</v>
      </c>
      <c r="AZ68" s="117">
        <v>3988</v>
      </c>
      <c r="BA68" s="11"/>
      <c r="BB68" s="63" t="s">
        <v>33</v>
      </c>
    </row>
    <row r="69" spans="1:54">
      <c r="A69" s="149"/>
      <c r="B69" s="188"/>
      <c r="C69" s="2" t="s">
        <v>100</v>
      </c>
      <c r="D69" s="23">
        <v>0.71719999999999995</v>
      </c>
      <c r="E69" s="23">
        <v>0.73299999999999998</v>
      </c>
      <c r="F69" s="23">
        <v>0.70989999999999998</v>
      </c>
      <c r="G69" s="23">
        <v>0.71099999999999997</v>
      </c>
      <c r="I69" s="23">
        <v>0.73350000000000004</v>
      </c>
      <c r="J69" s="23">
        <v>0.72140000000000004</v>
      </c>
      <c r="K69" s="23">
        <v>0.68440000000000001</v>
      </c>
      <c r="L69" s="23">
        <v>0.65300000000000002</v>
      </c>
      <c r="R69" s="52">
        <v>0.69320000000000004</v>
      </c>
      <c r="S69" s="23">
        <v>0.73880000000000001</v>
      </c>
      <c r="T69" s="23">
        <v>0.74780000000000002</v>
      </c>
      <c r="U69" s="23">
        <v>0.75</v>
      </c>
      <c r="V69" s="23">
        <v>0.72599999999999998</v>
      </c>
      <c r="W69" s="11"/>
      <c r="X69" s="24">
        <f>AVERAGE(R69:V69)</f>
        <v>0.73116000000000003</v>
      </c>
      <c r="Y69" s="23">
        <v>0.59040000000000004</v>
      </c>
      <c r="Z69" s="11"/>
      <c r="AA69" s="25" t="s">
        <v>101</v>
      </c>
      <c r="AB69" s="14"/>
      <c r="AC69" s="85">
        <v>4366</v>
      </c>
      <c r="AD69" s="80">
        <v>3865</v>
      </c>
      <c r="AE69" s="80">
        <v>4148</v>
      </c>
      <c r="AF69" s="20">
        <v>3431</v>
      </c>
      <c r="AG69" s="39">
        <v>3781</v>
      </c>
      <c r="AH69" s="39">
        <v>3150</v>
      </c>
      <c r="AI69" s="39">
        <v>3400</v>
      </c>
      <c r="AJ69" s="39">
        <v>2533</v>
      </c>
      <c r="AK69" s="39">
        <v>2657</v>
      </c>
      <c r="AL69" s="63">
        <v>3234</v>
      </c>
      <c r="AM69" s="63">
        <v>2499</v>
      </c>
      <c r="AN69" s="63">
        <v>3131</v>
      </c>
      <c r="AO69" s="63">
        <v>3533</v>
      </c>
      <c r="AP69" s="63">
        <v>2756</v>
      </c>
      <c r="AQ69" s="63">
        <v>2970</v>
      </c>
      <c r="AR69" s="63">
        <v>2677</v>
      </c>
      <c r="AT69" s="117">
        <v>778</v>
      </c>
      <c r="AU69" s="117">
        <v>714</v>
      </c>
      <c r="AV69" s="117">
        <v>530</v>
      </c>
      <c r="AW69" s="117">
        <v>690</v>
      </c>
      <c r="AY69" s="117">
        <v>2712</v>
      </c>
      <c r="AZ69" s="117">
        <v>2981</v>
      </c>
      <c r="BA69" s="11"/>
      <c r="BB69" s="101" t="s">
        <v>33</v>
      </c>
    </row>
    <row r="70" spans="1:54">
      <c r="A70" s="149"/>
      <c r="B70" s="184"/>
      <c r="C70" s="3" t="s">
        <v>83</v>
      </c>
      <c r="D70" s="22">
        <v>0.41176470588235292</v>
      </c>
      <c r="E70" s="22">
        <v>0.36619718309859156</v>
      </c>
      <c r="F70" s="22">
        <v>0.38709677419354838</v>
      </c>
      <c r="G70" s="22">
        <v>0.28205128205128205</v>
      </c>
      <c r="I70" s="22">
        <f>5/48</f>
        <v>0.10416666666666667</v>
      </c>
      <c r="J70" s="22">
        <f>9/27</f>
        <v>0.33333333333333331</v>
      </c>
      <c r="K70" s="22">
        <f>4/26</f>
        <v>0.15384615384615385</v>
      </c>
      <c r="L70" s="22">
        <f>18/37</f>
        <v>0.48648648648648651</v>
      </c>
      <c r="R70" s="51">
        <f>13/37</f>
        <v>0.35135135135135137</v>
      </c>
      <c r="S70" s="22">
        <f>12/31</f>
        <v>0.38709677419354838</v>
      </c>
      <c r="T70" s="22">
        <f>6/25</f>
        <v>0.24</v>
      </c>
      <c r="U70" s="22">
        <f>23/45</f>
        <v>0.51111111111111107</v>
      </c>
      <c r="V70" s="22">
        <f>11/56</f>
        <v>0.19642857142857142</v>
      </c>
      <c r="W70" s="11"/>
      <c r="X70" s="21">
        <f>AVERAGE(R70:V70)</f>
        <v>0.33719756161691644</v>
      </c>
      <c r="Y70" s="22">
        <v>0.26250000000000001</v>
      </c>
      <c r="Z70" s="11"/>
      <c r="AA70" s="26" t="s">
        <v>102</v>
      </c>
      <c r="AB70" s="14"/>
      <c r="AC70" s="76" t="s">
        <v>33</v>
      </c>
      <c r="AD70" s="77" t="s">
        <v>33</v>
      </c>
      <c r="AE70" s="76" t="s">
        <v>33</v>
      </c>
      <c r="AF70" s="77" t="s">
        <v>33</v>
      </c>
      <c r="AG70" s="76" t="s">
        <v>33</v>
      </c>
      <c r="AH70" s="77" t="s">
        <v>33</v>
      </c>
      <c r="AI70" s="76" t="s">
        <v>33</v>
      </c>
      <c r="AJ70" s="77" t="s">
        <v>33</v>
      </c>
      <c r="AK70" s="76" t="s">
        <v>33</v>
      </c>
      <c r="AL70" s="77" t="s">
        <v>33</v>
      </c>
      <c r="AM70" s="76" t="s">
        <v>33</v>
      </c>
      <c r="AN70" s="77" t="s">
        <v>33</v>
      </c>
      <c r="AO70" s="76" t="s">
        <v>33</v>
      </c>
      <c r="AP70" s="77" t="s">
        <v>33</v>
      </c>
      <c r="AQ70" s="76" t="s">
        <v>33</v>
      </c>
      <c r="AR70" s="77" t="s">
        <v>33</v>
      </c>
      <c r="AT70" s="117">
        <v>17</v>
      </c>
      <c r="AU70" s="117">
        <v>21</v>
      </c>
      <c r="AV70" s="117">
        <v>13</v>
      </c>
      <c r="AW70" s="117">
        <v>28</v>
      </c>
      <c r="AX70" s="11"/>
      <c r="AY70" s="117">
        <v>80</v>
      </c>
      <c r="AZ70" s="157" t="s">
        <v>33</v>
      </c>
      <c r="BA70" s="11"/>
      <c r="BB70" s="101" t="s">
        <v>33</v>
      </c>
    </row>
    <row r="71" spans="1:54">
      <c r="A71" s="149"/>
      <c r="B71" s="4"/>
      <c r="C71" s="4"/>
      <c r="I71" s="11"/>
      <c r="J71" s="11"/>
      <c r="K71" s="11"/>
      <c r="L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73"/>
      <c r="AD71" s="73"/>
      <c r="AE71" s="73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BA71" s="11"/>
      <c r="BB71" s="97"/>
    </row>
    <row r="72" spans="1:54">
      <c r="A72" s="149"/>
      <c r="B72" s="177" t="s">
        <v>38</v>
      </c>
      <c r="C72" s="5" t="s">
        <v>103</v>
      </c>
      <c r="D72" s="27" t="s">
        <v>33</v>
      </c>
      <c r="E72" s="27" t="s">
        <v>33</v>
      </c>
      <c r="F72" s="27" t="s">
        <v>33</v>
      </c>
      <c r="G72" s="27" t="s">
        <v>33</v>
      </c>
      <c r="I72" s="27" t="s">
        <v>33</v>
      </c>
      <c r="J72" s="27" t="s">
        <v>33</v>
      </c>
      <c r="K72" s="27" t="s">
        <v>33</v>
      </c>
      <c r="L72" s="27" t="s">
        <v>33</v>
      </c>
      <c r="R72" s="49" t="s">
        <v>33</v>
      </c>
      <c r="S72" s="27" t="s">
        <v>33</v>
      </c>
      <c r="T72" s="27" t="s">
        <v>33</v>
      </c>
      <c r="U72" s="27" t="s">
        <v>33</v>
      </c>
      <c r="V72" s="27" t="s">
        <v>33</v>
      </c>
      <c r="W72" s="11"/>
      <c r="X72" s="25">
        <v>1842</v>
      </c>
      <c r="Y72" s="27">
        <v>1888</v>
      </c>
      <c r="Z72" s="11"/>
      <c r="AA72" s="16" t="s">
        <v>33</v>
      </c>
      <c r="AB72" s="71"/>
      <c r="AC72" s="83">
        <v>0.98760000000000003</v>
      </c>
      <c r="AD72" s="84">
        <v>1.0152000000000001</v>
      </c>
      <c r="AE72" s="84">
        <v>1.0228999999999999</v>
      </c>
      <c r="AF72" s="23">
        <v>0.70820000000000005</v>
      </c>
      <c r="AG72" s="69">
        <v>0.90029999999999999</v>
      </c>
      <c r="AH72" s="69">
        <v>0.89370000000000005</v>
      </c>
      <c r="AI72" s="69">
        <v>0.89710000000000001</v>
      </c>
      <c r="AJ72" s="69">
        <v>0.63549999999999995</v>
      </c>
      <c r="AK72" s="69">
        <v>0.63200000000000001</v>
      </c>
      <c r="AL72" s="113">
        <v>0.73650000000000004</v>
      </c>
      <c r="AM72" s="113">
        <v>0.62429999999999997</v>
      </c>
      <c r="AN72" s="113">
        <v>0.73580000000000001</v>
      </c>
      <c r="AO72" s="113">
        <v>0.72219999999999995</v>
      </c>
      <c r="AP72" s="113">
        <v>0.6341</v>
      </c>
      <c r="AQ72" s="113">
        <v>0.66979999999999995</v>
      </c>
      <c r="AR72" s="113">
        <v>0.66720000000000002</v>
      </c>
      <c r="AT72" s="122">
        <v>0.78979999999999995</v>
      </c>
      <c r="AU72" s="122">
        <v>0.80859999999999999</v>
      </c>
      <c r="AV72" s="122">
        <v>0.80549999999999999</v>
      </c>
      <c r="AW72" s="122">
        <v>0.74270000000000003</v>
      </c>
      <c r="AX72" s="11"/>
      <c r="AY72" s="122">
        <v>0.78110000000000002</v>
      </c>
      <c r="AZ72" s="69">
        <v>0.74750000000000005</v>
      </c>
      <c r="BA72" s="11"/>
      <c r="BB72" s="124">
        <v>0.9</v>
      </c>
    </row>
    <row r="73" spans="1:54">
      <c r="A73" s="149"/>
      <c r="B73" s="178"/>
      <c r="C73" s="5" t="s">
        <v>104</v>
      </c>
      <c r="D73" s="27">
        <v>100</v>
      </c>
      <c r="E73" s="27">
        <v>397</v>
      </c>
      <c r="F73" s="27">
        <v>380</v>
      </c>
      <c r="G73" s="27">
        <v>445</v>
      </c>
      <c r="I73" s="27">
        <v>247</v>
      </c>
      <c r="J73" s="27">
        <v>331</v>
      </c>
      <c r="K73" s="27">
        <v>422</v>
      </c>
      <c r="L73" s="27">
        <v>256</v>
      </c>
      <c r="R73" s="56">
        <v>169</v>
      </c>
      <c r="S73" s="27">
        <v>318</v>
      </c>
      <c r="T73" s="27">
        <v>422</v>
      </c>
      <c r="U73" s="27">
        <v>336</v>
      </c>
      <c r="V73" s="27">
        <v>293</v>
      </c>
      <c r="W73" s="11"/>
      <c r="X73" s="26">
        <v>1532</v>
      </c>
      <c r="Y73" s="27">
        <v>1433</v>
      </c>
      <c r="Z73" s="11"/>
      <c r="AA73" s="26" t="s">
        <v>33</v>
      </c>
      <c r="AB73" s="14"/>
      <c r="AC73" s="83" t="s">
        <v>33</v>
      </c>
      <c r="AD73" s="84" t="s">
        <v>33</v>
      </c>
      <c r="AE73" s="83" t="s">
        <v>33</v>
      </c>
      <c r="AF73" s="84" t="s">
        <v>33</v>
      </c>
      <c r="AG73" s="83" t="s">
        <v>33</v>
      </c>
      <c r="AH73" s="84" t="s">
        <v>33</v>
      </c>
      <c r="AI73" s="83" t="s">
        <v>33</v>
      </c>
      <c r="AJ73" s="84" t="s">
        <v>33</v>
      </c>
      <c r="AK73" s="83" t="s">
        <v>33</v>
      </c>
      <c r="AL73" s="84" t="s">
        <v>33</v>
      </c>
      <c r="AM73" s="83" t="s">
        <v>33</v>
      </c>
      <c r="AN73" s="84" t="s">
        <v>33</v>
      </c>
      <c r="AO73" s="83" t="s">
        <v>33</v>
      </c>
      <c r="AP73" s="84" t="s">
        <v>33</v>
      </c>
      <c r="AQ73" s="83" t="s">
        <v>33</v>
      </c>
      <c r="AR73" s="84" t="s">
        <v>33</v>
      </c>
      <c r="AT73" s="122">
        <v>0.76470000000000005</v>
      </c>
      <c r="AU73" s="122">
        <v>0.95240000000000002</v>
      </c>
      <c r="AV73" s="122">
        <v>0.92310000000000003</v>
      </c>
      <c r="AW73" s="122">
        <v>0.78569999999999995</v>
      </c>
      <c r="AX73" s="11"/>
      <c r="AY73" s="122">
        <v>0.83750000000000002</v>
      </c>
      <c r="AZ73" s="69" t="s">
        <v>33</v>
      </c>
      <c r="BA73" s="11"/>
      <c r="BB73" s="124" t="s">
        <v>33</v>
      </c>
    </row>
    <row r="74" spans="1:54">
      <c r="A74" s="149"/>
      <c r="B74" s="4"/>
      <c r="C74" s="4"/>
      <c r="I74" s="11"/>
      <c r="J74" s="11"/>
      <c r="K74" s="11"/>
      <c r="L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73"/>
      <c r="AD74" s="73"/>
      <c r="AE74" s="73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BA74" s="11"/>
      <c r="BB74" s="97"/>
    </row>
    <row r="75" spans="1:54">
      <c r="A75" s="149"/>
      <c r="B75" s="183" t="s">
        <v>90</v>
      </c>
      <c r="C75" s="170" t="s">
        <v>90</v>
      </c>
      <c r="D75" s="23">
        <v>0.68889999999999996</v>
      </c>
      <c r="E75" s="23">
        <v>0.85319999999999996</v>
      </c>
      <c r="F75" s="23">
        <v>0.71099999999999997</v>
      </c>
      <c r="G75" s="23">
        <v>0.70169999999999999</v>
      </c>
      <c r="I75" s="23">
        <v>0.62439999999999996</v>
      </c>
      <c r="J75" s="23">
        <v>0.55410000000000004</v>
      </c>
      <c r="K75" s="23">
        <v>0.62429999999999997</v>
      </c>
      <c r="L75" s="23">
        <v>0.35720000000000002</v>
      </c>
      <c r="R75" s="46">
        <v>0.45700000000000002</v>
      </c>
      <c r="S75" s="23">
        <v>0.59379999999999999</v>
      </c>
      <c r="T75" s="23">
        <v>0.65439999999999998</v>
      </c>
      <c r="U75" s="44">
        <v>0.55900000000000005</v>
      </c>
      <c r="V75" s="44">
        <v>0.66269999999999996</v>
      </c>
      <c r="W75" s="11"/>
      <c r="X75" s="24">
        <v>0.58889999999999998</v>
      </c>
      <c r="Y75" s="23">
        <v>0.56169999999999998</v>
      </c>
      <c r="Z75" s="11"/>
      <c r="AA75" s="32">
        <v>0.95</v>
      </c>
      <c r="AB75" s="33"/>
      <c r="AC75" s="85" t="s">
        <v>33</v>
      </c>
      <c r="AD75" s="78" t="s">
        <v>33</v>
      </c>
      <c r="AE75" s="78" t="s">
        <v>33</v>
      </c>
      <c r="AF75" s="27">
        <v>316</v>
      </c>
      <c r="AG75" s="27">
        <v>747</v>
      </c>
      <c r="AH75" s="27">
        <v>745</v>
      </c>
      <c r="AI75" s="27">
        <v>615</v>
      </c>
      <c r="AJ75" s="27">
        <v>834</v>
      </c>
      <c r="AK75" s="27">
        <v>1245</v>
      </c>
      <c r="AL75" s="117">
        <v>665</v>
      </c>
      <c r="AM75" s="117">
        <v>1073</v>
      </c>
      <c r="AN75" s="117">
        <v>825</v>
      </c>
      <c r="AO75" s="117">
        <v>656</v>
      </c>
      <c r="AP75" s="117">
        <v>1106</v>
      </c>
      <c r="AQ75" s="117">
        <v>1092</v>
      </c>
      <c r="AR75" s="117">
        <v>954</v>
      </c>
      <c r="AT75" s="117">
        <v>143</v>
      </c>
      <c r="AU75" s="117">
        <v>185</v>
      </c>
      <c r="AV75" s="117">
        <v>183</v>
      </c>
      <c r="AW75" s="117">
        <v>175</v>
      </c>
      <c r="AX75" s="11"/>
      <c r="AY75" s="117">
        <v>175</v>
      </c>
      <c r="AZ75" s="117">
        <v>508</v>
      </c>
      <c r="BA75" s="11"/>
      <c r="BB75" s="63" t="s">
        <v>33</v>
      </c>
    </row>
    <row r="76" spans="1:54">
      <c r="A76" s="149"/>
      <c r="B76" s="191"/>
      <c r="C76" s="144" t="s">
        <v>105</v>
      </c>
      <c r="I76" s="11"/>
      <c r="J76" s="11"/>
      <c r="K76" s="11"/>
      <c r="L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81">
        <v>0.30909999999999999</v>
      </c>
      <c r="AD76" s="82">
        <v>0.24970000000000001</v>
      </c>
      <c r="AE76" s="82">
        <v>0.18329999999999999</v>
      </c>
      <c r="AF76" s="22">
        <v>0.2175</v>
      </c>
      <c r="AG76" s="22">
        <v>0.32969999999999999</v>
      </c>
      <c r="AH76" s="22">
        <v>0.21029999999999999</v>
      </c>
      <c r="AI76" s="22">
        <v>0.1739</v>
      </c>
      <c r="AJ76" s="22">
        <v>0.28399999999999997</v>
      </c>
      <c r="AK76" s="22">
        <v>0.37619999999999998</v>
      </c>
      <c r="AL76" s="69">
        <v>0.22270000000000001</v>
      </c>
      <c r="AM76" s="69">
        <v>0.33289999999999997</v>
      </c>
      <c r="AN76" s="69">
        <v>0.25090000000000001</v>
      </c>
      <c r="AO76" s="69">
        <v>0.16869999999999999</v>
      </c>
      <c r="AP76" s="69">
        <v>0.29730000000000001</v>
      </c>
      <c r="AQ76" s="69">
        <v>0.31630000000000003</v>
      </c>
      <c r="AR76" s="69">
        <v>0.31319999999999998</v>
      </c>
      <c r="AT76" s="158">
        <v>0.15279999999999999</v>
      </c>
      <c r="AU76" s="158">
        <v>0.1043</v>
      </c>
      <c r="AV76" s="158">
        <v>7.9899999999999999E-2</v>
      </c>
      <c r="AW76" s="158">
        <v>6.83E-2</v>
      </c>
      <c r="AX76" s="30"/>
      <c r="AY76" s="158">
        <v>6.83E-2</v>
      </c>
      <c r="AZ76" s="106">
        <v>0.18770000000000001</v>
      </c>
      <c r="BA76" s="11"/>
      <c r="BB76" s="101" t="s">
        <v>96</v>
      </c>
    </row>
    <row r="77" spans="1:54">
      <c r="A77" s="149"/>
      <c r="B77" s="191"/>
      <c r="C77" s="179" t="s">
        <v>106</v>
      </c>
      <c r="D77" s="27" t="s">
        <v>107</v>
      </c>
      <c r="E77" s="27" t="s">
        <v>107</v>
      </c>
      <c r="F77" s="27" t="s">
        <v>107</v>
      </c>
      <c r="G77" s="27" t="s">
        <v>107</v>
      </c>
      <c r="I77" s="27">
        <v>381</v>
      </c>
      <c r="J77" s="27">
        <v>566</v>
      </c>
      <c r="K77" s="27">
        <v>631</v>
      </c>
      <c r="L77" s="27">
        <v>657</v>
      </c>
      <c r="R77" s="49">
        <v>368</v>
      </c>
      <c r="S77" s="27">
        <v>359</v>
      </c>
      <c r="T77" s="27">
        <v>490</v>
      </c>
      <c r="U77" s="27">
        <v>634</v>
      </c>
      <c r="V77" s="27">
        <v>444</v>
      </c>
      <c r="W77" s="57">
        <v>127</v>
      </c>
      <c r="X77" s="25">
        <v>1780</v>
      </c>
      <c r="Y77" s="27">
        <v>2362</v>
      </c>
      <c r="Z77" s="11"/>
      <c r="AA77" s="16" t="s">
        <v>33</v>
      </c>
      <c r="AB77" s="71"/>
      <c r="AC77" s="90">
        <v>5</v>
      </c>
      <c r="AD77" s="80">
        <v>5.77</v>
      </c>
      <c r="AE77" s="80">
        <v>4.84</v>
      </c>
      <c r="AF77" s="36">
        <v>8.67</v>
      </c>
      <c r="AG77" s="36">
        <v>5.71</v>
      </c>
      <c r="AH77" s="36">
        <v>5.61</v>
      </c>
      <c r="AI77" s="36">
        <v>5.16</v>
      </c>
      <c r="AJ77" s="36">
        <v>5.77</v>
      </c>
      <c r="AK77" s="36">
        <v>7.43</v>
      </c>
      <c r="AL77" s="131">
        <v>5.58</v>
      </c>
      <c r="AM77" s="131">
        <v>7.31</v>
      </c>
      <c r="AN77" s="131">
        <v>9.77</v>
      </c>
      <c r="AO77" s="131">
        <v>5.24</v>
      </c>
      <c r="AP77" s="131">
        <v>6.87</v>
      </c>
      <c r="AQ77" s="131">
        <v>11.84</v>
      </c>
      <c r="AR77" s="131">
        <v>9.6300000000000008</v>
      </c>
      <c r="AT77" s="107">
        <v>12.1</v>
      </c>
      <c r="AU77" s="107">
        <v>10.38</v>
      </c>
      <c r="AV77" s="107">
        <v>8.82</v>
      </c>
      <c r="AW77" s="107">
        <v>8.98</v>
      </c>
      <c r="AX77" s="11"/>
      <c r="AY77" s="107">
        <v>8.98</v>
      </c>
      <c r="AZ77" s="63">
        <v>12.77</v>
      </c>
      <c r="BB77" s="101" t="s">
        <v>97</v>
      </c>
    </row>
    <row r="78" spans="1:54">
      <c r="A78" s="149"/>
      <c r="B78" s="189"/>
      <c r="C78" s="180" t="s">
        <v>108</v>
      </c>
      <c r="D78" s="20">
        <v>654</v>
      </c>
      <c r="E78" s="20">
        <v>880</v>
      </c>
      <c r="F78" s="19">
        <v>1154</v>
      </c>
      <c r="G78" s="20">
        <v>431</v>
      </c>
      <c r="I78" s="20">
        <v>479</v>
      </c>
      <c r="J78" s="20">
        <v>539</v>
      </c>
      <c r="K78" s="19">
        <v>556</v>
      </c>
      <c r="L78" s="20">
        <v>362</v>
      </c>
      <c r="R78" s="53">
        <v>288</v>
      </c>
      <c r="S78" s="20">
        <v>464</v>
      </c>
      <c r="T78" s="19">
        <v>334</v>
      </c>
      <c r="U78" s="20">
        <v>405</v>
      </c>
      <c r="V78" s="20">
        <v>264</v>
      </c>
      <c r="W78" s="11"/>
      <c r="X78" s="26">
        <f>SUM(R78:V78)</f>
        <v>1755</v>
      </c>
      <c r="Y78" s="20">
        <v>2137</v>
      </c>
      <c r="Z78" s="11"/>
      <c r="AA78" s="18" t="s">
        <v>33</v>
      </c>
      <c r="AB78" s="71"/>
      <c r="AC78" s="90" t="s">
        <v>33</v>
      </c>
      <c r="AD78" s="80" t="s">
        <v>33</v>
      </c>
      <c r="AE78" s="90" t="s">
        <v>33</v>
      </c>
      <c r="AF78" s="80" t="s">
        <v>33</v>
      </c>
      <c r="AG78" s="90" t="s">
        <v>33</v>
      </c>
      <c r="AH78" s="80" t="s">
        <v>33</v>
      </c>
      <c r="AI78" s="90" t="s">
        <v>33</v>
      </c>
      <c r="AJ78" s="80" t="s">
        <v>33</v>
      </c>
      <c r="AK78" s="90" t="s">
        <v>33</v>
      </c>
      <c r="AL78" s="80" t="s">
        <v>33</v>
      </c>
      <c r="AM78" s="90" t="s">
        <v>33</v>
      </c>
      <c r="AN78" s="80" t="s">
        <v>33</v>
      </c>
      <c r="AO78" s="90" t="s">
        <v>33</v>
      </c>
      <c r="AP78" s="80" t="s">
        <v>33</v>
      </c>
      <c r="AQ78" s="90" t="s">
        <v>33</v>
      </c>
      <c r="AR78" s="80" t="s">
        <v>33</v>
      </c>
      <c r="AT78" s="69">
        <v>0.1905</v>
      </c>
      <c r="AU78" s="69">
        <v>0.129</v>
      </c>
      <c r="AV78" s="69">
        <v>8.77E-2</v>
      </c>
      <c r="AW78" s="69">
        <v>7.9399999999999998E-2</v>
      </c>
      <c r="AX78" s="11"/>
      <c r="AY78" s="69">
        <v>7.9399999999999998E-2</v>
      </c>
      <c r="AZ78" s="105" t="s">
        <v>33</v>
      </c>
      <c r="BB78" s="101" t="s">
        <v>33</v>
      </c>
    </row>
    <row r="79" spans="1:54">
      <c r="A79" s="149"/>
      <c r="B79" s="4"/>
      <c r="C79" s="4"/>
      <c r="D79" s="14"/>
      <c r="E79" s="14"/>
      <c r="F79" s="14"/>
      <c r="G79" s="14"/>
      <c r="I79" s="14"/>
      <c r="J79" s="14"/>
      <c r="K79" s="14"/>
      <c r="L79" s="14"/>
      <c r="R79" s="14"/>
      <c r="S79" s="14"/>
      <c r="T79" s="14"/>
      <c r="U79" s="14"/>
      <c r="V79" s="14"/>
      <c r="W79" s="11"/>
      <c r="X79" s="14"/>
      <c r="Y79" s="14"/>
      <c r="Z79" s="11"/>
      <c r="AA79" s="14"/>
      <c r="AB79" s="14"/>
      <c r="AC79" s="73"/>
      <c r="AD79" s="73"/>
      <c r="AE79" s="73"/>
      <c r="AF79" s="14"/>
      <c r="AG79" s="14"/>
      <c r="AH79" s="14"/>
      <c r="AI79" s="14"/>
      <c r="AJ79" s="14"/>
      <c r="AK79" s="14"/>
      <c r="AL79" s="97"/>
      <c r="AM79" s="97"/>
      <c r="AN79" s="97"/>
      <c r="AO79" s="97"/>
      <c r="AP79" s="97"/>
      <c r="AQ79" s="138"/>
      <c r="AR79" s="97"/>
      <c r="BB79" s="97"/>
    </row>
    <row r="80" spans="1:54">
      <c r="A80" s="149"/>
      <c r="B80" s="172" t="s">
        <v>109</v>
      </c>
      <c r="C80" s="142" t="s">
        <v>110</v>
      </c>
      <c r="D80" s="23">
        <v>0.47710000000000002</v>
      </c>
      <c r="E80" s="23">
        <v>0.49399999999999999</v>
      </c>
      <c r="F80" s="23">
        <v>0.37090000000000001</v>
      </c>
      <c r="G80" s="23">
        <v>0.5081</v>
      </c>
      <c r="I80" s="23">
        <v>0.23380000000000001</v>
      </c>
      <c r="J80" s="23">
        <v>0.48349999999999999</v>
      </c>
      <c r="K80" s="23">
        <v>0.54690000000000005</v>
      </c>
      <c r="L80" s="23">
        <v>0.52600000000000002</v>
      </c>
      <c r="R80" s="46">
        <f>113/(113+130)</f>
        <v>0.46502057613168724</v>
      </c>
      <c r="S80" s="23">
        <f>131/(131+260)</f>
        <v>0.33503836317135549</v>
      </c>
      <c r="T80" s="23">
        <f>349/(349+334)</f>
        <v>0.51098096632503665</v>
      </c>
      <c r="U80" s="23">
        <v>0.5877</v>
      </c>
      <c r="V80" s="23">
        <f>94/(94+264)</f>
        <v>0.26256983240223464</v>
      </c>
      <c r="W80" s="11"/>
      <c r="X80" s="42">
        <f>575/(575+X78)</f>
        <v>0.24678111587982832</v>
      </c>
      <c r="Y80" s="23">
        <v>0.39300000000000002</v>
      </c>
      <c r="Z80" s="11"/>
      <c r="AA80" s="25" t="s">
        <v>101</v>
      </c>
      <c r="AB80" s="14"/>
      <c r="AC80" s="83">
        <v>0.69110000000000005</v>
      </c>
      <c r="AD80" s="84">
        <v>0.68730000000000002</v>
      </c>
      <c r="AE80" s="84">
        <v>0.71779999999999999</v>
      </c>
      <c r="AF80" s="23">
        <v>0.59040000000000004</v>
      </c>
      <c r="AG80" s="69">
        <v>0.73116000000000003</v>
      </c>
      <c r="AH80" s="69">
        <v>0.65849999999999997</v>
      </c>
      <c r="AI80" s="69">
        <v>0.66239999999999999</v>
      </c>
      <c r="AJ80" s="69">
        <v>0.65</v>
      </c>
      <c r="AK80" s="69">
        <v>0.61270000000000002</v>
      </c>
      <c r="AL80" s="42">
        <v>0.55269999999999997</v>
      </c>
      <c r="AM80" s="42">
        <v>0.66769999999999996</v>
      </c>
      <c r="AN80" s="42">
        <v>0.64710000000000001</v>
      </c>
      <c r="AO80" s="42">
        <v>0.64370000000000005</v>
      </c>
      <c r="AP80" s="42">
        <v>0.59460000000000002</v>
      </c>
      <c r="AQ80" s="42">
        <v>0.63370000000000004</v>
      </c>
      <c r="AR80" s="42">
        <v>0.63460000000000005</v>
      </c>
      <c r="AT80" s="69">
        <v>0.65359999999999996</v>
      </c>
      <c r="AU80" s="69">
        <v>0.60329999999999995</v>
      </c>
      <c r="AV80" s="69">
        <v>0.68669999999999998</v>
      </c>
      <c r="AW80" s="69">
        <v>0.68359999999999999</v>
      </c>
      <c r="AX80" s="11"/>
      <c r="AY80" s="69">
        <v>0.65480000000000005</v>
      </c>
      <c r="AZ80" s="69">
        <v>0.63460000000000005</v>
      </c>
      <c r="BB80" s="63" t="s">
        <v>101</v>
      </c>
    </row>
    <row r="81" spans="1:54">
      <c r="A81" s="150"/>
      <c r="B81" s="175"/>
      <c r="C81" s="181" t="s">
        <v>111</v>
      </c>
      <c r="D81" s="14"/>
      <c r="E81" s="14"/>
      <c r="F81" s="14"/>
      <c r="G81" s="14"/>
      <c r="I81" s="14"/>
      <c r="J81" s="14"/>
      <c r="K81" s="14"/>
      <c r="L81" s="14"/>
      <c r="R81" s="14"/>
      <c r="S81" s="14"/>
      <c r="T81" s="14"/>
      <c r="U81" s="14"/>
      <c r="V81" s="14"/>
      <c r="W81" s="11"/>
      <c r="X81" s="14"/>
      <c r="Y81" s="14"/>
      <c r="Z81" s="11"/>
      <c r="AA81" s="14"/>
      <c r="AB81" s="14"/>
      <c r="AC81" s="81">
        <v>0.35589999999999999</v>
      </c>
      <c r="AD81" s="82">
        <v>0.37419999999999998</v>
      </c>
      <c r="AE81" s="82">
        <v>0.36549999999999999</v>
      </c>
      <c r="AF81" s="22">
        <v>0.26250000000000001</v>
      </c>
      <c r="AG81" s="69">
        <v>0.33719756161691644</v>
      </c>
      <c r="AH81" s="69">
        <v>0.24102564102564103</v>
      </c>
      <c r="AI81" s="69">
        <v>0.39179999999999998</v>
      </c>
      <c r="AJ81" s="69">
        <v>0.39269999999999999</v>
      </c>
      <c r="AK81" s="69">
        <v>0.43530000000000002</v>
      </c>
      <c r="AL81" s="119">
        <v>0.4113</v>
      </c>
      <c r="AM81" s="119">
        <v>0.38850000000000001</v>
      </c>
      <c r="AN81" s="119">
        <v>0.35160000000000002</v>
      </c>
      <c r="AO81" s="119">
        <v>0.29730000000000001</v>
      </c>
      <c r="AP81" s="119">
        <v>0.28460000000000002</v>
      </c>
      <c r="AQ81" s="119" t="s">
        <v>79</v>
      </c>
      <c r="AR81" s="119">
        <v>0.28460000000000002</v>
      </c>
      <c r="AT81" s="119">
        <v>0.24660000000000001</v>
      </c>
      <c r="AU81" s="119">
        <v>0.2424</v>
      </c>
      <c r="AV81" s="119">
        <v>0.22</v>
      </c>
      <c r="AW81" s="119">
        <v>0.20749999999999999</v>
      </c>
      <c r="AX81" s="11"/>
      <c r="AY81" s="119">
        <v>0.26200000000000001</v>
      </c>
      <c r="AZ81" s="119">
        <v>0.24030000000000001</v>
      </c>
      <c r="BB81" s="101" t="s">
        <v>102</v>
      </c>
    </row>
    <row r="82" spans="1:54">
      <c r="D82" s="14"/>
      <c r="E82" s="14"/>
      <c r="F82" s="14"/>
      <c r="G82" s="14"/>
      <c r="I82" s="14"/>
      <c r="J82" s="14"/>
      <c r="K82" s="14"/>
      <c r="L82" s="14"/>
      <c r="R82" s="14"/>
      <c r="S82" s="14"/>
      <c r="T82" s="14"/>
      <c r="U82" s="14"/>
      <c r="V82" s="14"/>
      <c r="W82" s="11"/>
      <c r="X82" s="14"/>
      <c r="Y82" s="14"/>
      <c r="Z82" s="11"/>
      <c r="AA82" s="14"/>
      <c r="AB82" s="14"/>
      <c r="AC82" s="73"/>
      <c r="AD82" s="73"/>
      <c r="AE82" s="73"/>
      <c r="AF82" s="14"/>
      <c r="AG82" s="14"/>
      <c r="AH82" s="14"/>
      <c r="AI82" s="14"/>
      <c r="AJ82" s="14"/>
      <c r="AK82" s="14"/>
      <c r="AL82" s="97"/>
      <c r="AM82" s="97"/>
      <c r="AN82" s="97"/>
      <c r="AO82" s="97"/>
      <c r="AP82" s="109"/>
      <c r="AQ82" s="143"/>
      <c r="AR82" s="109"/>
      <c r="BB82" s="11"/>
    </row>
    <row r="83" spans="1:54">
      <c r="A83" s="148" t="s">
        <v>112</v>
      </c>
      <c r="B83" s="183" t="s">
        <v>113</v>
      </c>
      <c r="C83" s="2" t="s">
        <v>114</v>
      </c>
      <c r="D83" s="27">
        <v>323</v>
      </c>
      <c r="E83" s="27">
        <v>435</v>
      </c>
      <c r="F83" s="27">
        <v>570</v>
      </c>
      <c r="G83" s="27">
        <v>182</v>
      </c>
      <c r="I83" s="27">
        <v>98</v>
      </c>
      <c r="J83" s="27">
        <v>63</v>
      </c>
      <c r="K83" s="27">
        <v>60</v>
      </c>
      <c r="L83" s="27">
        <v>79</v>
      </c>
      <c r="R83" s="45">
        <v>167</v>
      </c>
      <c r="S83" s="27">
        <v>438</v>
      </c>
      <c r="T83" s="27">
        <v>552</v>
      </c>
      <c r="U83" s="27">
        <v>197</v>
      </c>
      <c r="V83" s="27">
        <v>136</v>
      </c>
      <c r="W83" s="11"/>
      <c r="X83" s="25">
        <v>136</v>
      </c>
      <c r="Y83" s="27">
        <v>48</v>
      </c>
      <c r="Z83" s="11"/>
      <c r="AA83" s="16" t="s">
        <v>33</v>
      </c>
      <c r="AB83" s="71"/>
      <c r="AC83" s="85">
        <v>1824</v>
      </c>
      <c r="AD83" s="78">
        <v>1944</v>
      </c>
      <c r="AE83" s="78">
        <v>2402</v>
      </c>
      <c r="AF83" s="27">
        <v>1888</v>
      </c>
      <c r="AG83" s="39">
        <v>1842</v>
      </c>
      <c r="AH83" s="39">
        <v>2489</v>
      </c>
      <c r="AI83" s="39">
        <v>2767</v>
      </c>
      <c r="AJ83" s="39">
        <v>1696</v>
      </c>
      <c r="AK83" s="39">
        <v>1901</v>
      </c>
      <c r="AL83" s="63">
        <v>1963</v>
      </c>
      <c r="AM83" s="63">
        <v>3040</v>
      </c>
      <c r="AN83" s="63">
        <v>1540</v>
      </c>
      <c r="AO83" s="63">
        <v>1719</v>
      </c>
      <c r="AP83" s="63">
        <v>1933</v>
      </c>
      <c r="AQ83" s="63">
        <v>2507</v>
      </c>
      <c r="AR83" s="63">
        <v>1944</v>
      </c>
      <c r="AT83" s="69" t="s">
        <v>33</v>
      </c>
      <c r="AU83" s="69" t="s">
        <v>33</v>
      </c>
      <c r="AV83" s="69" t="s">
        <v>33</v>
      </c>
      <c r="AW83" s="69" t="s">
        <v>33</v>
      </c>
      <c r="AY83" s="117">
        <v>2693</v>
      </c>
      <c r="AZ83" s="117">
        <v>1778</v>
      </c>
      <c r="BB83" s="114" t="s">
        <v>33</v>
      </c>
    </row>
    <row r="84" spans="1:54">
      <c r="A84" s="149"/>
      <c r="B84" s="184"/>
      <c r="C84" s="3" t="s">
        <v>115</v>
      </c>
      <c r="D84" s="14"/>
      <c r="E84" s="14"/>
      <c r="F84" s="14"/>
      <c r="G84" s="14"/>
      <c r="I84" s="14"/>
      <c r="J84" s="14"/>
      <c r="K84" s="14"/>
      <c r="L84" s="14"/>
      <c r="R84" s="14"/>
      <c r="S84" s="14"/>
      <c r="T84" s="14"/>
      <c r="U84" s="14"/>
      <c r="V84" s="14"/>
      <c r="W84" s="11"/>
      <c r="X84" s="14"/>
      <c r="Y84" s="14"/>
      <c r="Z84" s="11"/>
      <c r="AA84" s="14"/>
      <c r="AB84" s="14"/>
      <c r="AC84" s="86">
        <v>2033</v>
      </c>
      <c r="AD84" s="80">
        <v>2162</v>
      </c>
      <c r="AE84" s="80">
        <v>1618</v>
      </c>
      <c r="AF84" s="27">
        <v>1433</v>
      </c>
      <c r="AG84" s="39">
        <v>1532</v>
      </c>
      <c r="AH84" s="39">
        <v>1415</v>
      </c>
      <c r="AI84" s="39">
        <v>3142</v>
      </c>
      <c r="AJ84" s="39">
        <v>2024</v>
      </c>
      <c r="AK84" s="39">
        <v>1676</v>
      </c>
      <c r="AL84" s="101">
        <v>2551</v>
      </c>
      <c r="AM84" s="101">
        <v>2507</v>
      </c>
      <c r="AN84" s="101">
        <v>1884</v>
      </c>
      <c r="AO84" s="101">
        <v>2090</v>
      </c>
      <c r="AP84" s="101">
        <v>1887</v>
      </c>
      <c r="AQ84" s="101">
        <v>1987</v>
      </c>
      <c r="AR84" s="101">
        <v>2202</v>
      </c>
      <c r="AT84" s="126">
        <v>609</v>
      </c>
      <c r="AU84" s="126">
        <v>532</v>
      </c>
      <c r="AV84" s="126">
        <v>492</v>
      </c>
      <c r="AW84" s="126">
        <v>595</v>
      </c>
      <c r="AX84" s="11"/>
      <c r="AY84" s="126">
        <v>2228</v>
      </c>
      <c r="AZ84" s="126">
        <v>1961</v>
      </c>
      <c r="BB84" s="101" t="s">
        <v>33</v>
      </c>
    </row>
    <row r="85" spans="1:54">
      <c r="A85" s="149"/>
      <c r="D85" s="23">
        <v>0.1484</v>
      </c>
      <c r="E85" s="23">
        <v>0.11890000000000001</v>
      </c>
      <c r="F85" s="23">
        <v>0.13009999999999999</v>
      </c>
      <c r="G85" s="23">
        <v>7.3099999999999998E-2</v>
      </c>
      <c r="I85" s="23">
        <v>0.16980000000000001</v>
      </c>
      <c r="J85" s="23">
        <f>63/(63+539)</f>
        <v>0.10465116279069768</v>
      </c>
      <c r="K85" s="23">
        <f>60/(60+556)</f>
        <v>9.7402597402597407E-2</v>
      </c>
      <c r="L85" s="23">
        <f>31/(31+362)</f>
        <v>7.8880407124681931E-2</v>
      </c>
      <c r="R85" s="46">
        <f>48/(48+288)</f>
        <v>0.14285714285714285</v>
      </c>
      <c r="S85" s="23">
        <f>110/(110+S78)</f>
        <v>0.19163763066202091</v>
      </c>
      <c r="T85" s="23">
        <f>43/(43+T78)</f>
        <v>0.11405835543766578</v>
      </c>
      <c r="U85" s="23">
        <f>53/(53+U78)</f>
        <v>0.11572052401746726</v>
      </c>
      <c r="V85" s="23">
        <f>40/(40+V78)</f>
        <v>0.13157894736842105</v>
      </c>
      <c r="W85" s="11"/>
      <c r="X85" s="64">
        <f>246/(246+X78)</f>
        <v>0.12293853073463268</v>
      </c>
      <c r="Y85" s="23">
        <v>0.112</v>
      </c>
      <c r="Z85" s="11"/>
      <c r="AA85" s="25" t="s">
        <v>68</v>
      </c>
      <c r="AB85" s="14"/>
      <c r="AT85" s="11"/>
      <c r="AU85" s="11"/>
      <c r="AV85" s="11"/>
      <c r="AW85" s="11"/>
      <c r="AX85" s="11"/>
      <c r="AY85" s="11"/>
      <c r="AZ85" s="11"/>
      <c r="BB85" s="11"/>
    </row>
    <row r="86" spans="1:54">
      <c r="A86" s="150"/>
      <c r="B86" s="5" t="s">
        <v>38</v>
      </c>
      <c r="C86" s="5" t="s">
        <v>116</v>
      </c>
      <c r="I86" s="11"/>
      <c r="J86" s="11"/>
      <c r="K86" s="11"/>
      <c r="L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83">
        <v>0.90010000000000001</v>
      </c>
      <c r="AD86" s="84">
        <v>0.87919999999999998</v>
      </c>
      <c r="AE86" s="84">
        <v>0.66739999999999999</v>
      </c>
      <c r="AF86" s="23">
        <v>0.56169999999999998</v>
      </c>
      <c r="AG86" s="69">
        <v>0.58889999999999998</v>
      </c>
      <c r="AH86" s="69">
        <v>0.54330000000000001</v>
      </c>
      <c r="AI86" s="69">
        <v>0.86809999999999998</v>
      </c>
      <c r="AJ86" s="69">
        <v>0.86</v>
      </c>
      <c r="AK86" s="69">
        <v>0.61429999999999996</v>
      </c>
      <c r="AL86" s="42">
        <v>0.95450000000000002</v>
      </c>
      <c r="AM86" s="42">
        <v>0.86770000000000003</v>
      </c>
      <c r="AN86" s="42">
        <v>1.0128999999999999</v>
      </c>
      <c r="AO86" s="42">
        <v>0.95789999999999997</v>
      </c>
      <c r="AP86" s="42">
        <v>0.94540000000000002</v>
      </c>
      <c r="AQ86" s="42">
        <v>0.96020000000000005</v>
      </c>
      <c r="AR86" s="42">
        <v>0.86739999999999995</v>
      </c>
      <c r="AT86" s="69">
        <v>0.99009999999999998</v>
      </c>
      <c r="AU86" s="69">
        <v>0.93799999999999994</v>
      </c>
      <c r="AV86" s="69">
        <v>0.98580000000000001</v>
      </c>
      <c r="AW86" s="69">
        <v>0.9899</v>
      </c>
      <c r="AX86" s="11"/>
      <c r="AY86" s="69">
        <v>0.97670000000000001</v>
      </c>
      <c r="AZ86" s="42">
        <v>0.89600000000000002</v>
      </c>
      <c r="BA86" s="11"/>
      <c r="BB86" s="124">
        <v>0.95</v>
      </c>
    </row>
    <row r="87" spans="1:54">
      <c r="D87" s="27">
        <v>164</v>
      </c>
      <c r="E87" s="27">
        <v>462</v>
      </c>
      <c r="F87" s="27">
        <v>465</v>
      </c>
      <c r="G87" s="27">
        <v>389</v>
      </c>
      <c r="I87" s="27">
        <f>524+159</f>
        <v>683</v>
      </c>
      <c r="J87" s="27">
        <f>546+138</f>
        <v>684</v>
      </c>
      <c r="K87" s="27">
        <f>522+159</f>
        <v>681</v>
      </c>
      <c r="L87" s="27">
        <f>557+162</f>
        <v>719</v>
      </c>
      <c r="R87" s="49">
        <f>358+124</f>
        <v>482</v>
      </c>
      <c r="S87" s="27">
        <f>143+516</f>
        <v>659</v>
      </c>
      <c r="T87" s="27">
        <f>516+150</f>
        <v>666</v>
      </c>
      <c r="U87" s="27">
        <f>119+740</f>
        <v>859</v>
      </c>
      <c r="V87" s="27">
        <f>499+55</f>
        <v>554</v>
      </c>
      <c r="W87" s="11"/>
      <c r="X87" s="63">
        <v>3213</v>
      </c>
      <c r="Y87" s="27">
        <v>2283</v>
      </c>
      <c r="Z87" s="11"/>
      <c r="AA87" s="16" t="s">
        <v>33</v>
      </c>
      <c r="AB87" s="71"/>
      <c r="AT87" s="11"/>
      <c r="AU87" s="11"/>
      <c r="AV87" s="11"/>
      <c r="AW87" s="11"/>
      <c r="AX87" s="11"/>
      <c r="AY87" s="11"/>
      <c r="AZ87" s="11"/>
      <c r="BA87" s="11"/>
      <c r="BB87" s="11"/>
    </row>
    <row r="88" spans="1:54">
      <c r="A88" s="182" t="s">
        <v>117</v>
      </c>
      <c r="B88" s="169" t="s">
        <v>118</v>
      </c>
      <c r="C88" s="5" t="s">
        <v>78</v>
      </c>
      <c r="D88" s="22">
        <f>18/D87</f>
        <v>0.10975609756097561</v>
      </c>
      <c r="E88" s="22">
        <f>25/E87</f>
        <v>5.4112554112554112E-2</v>
      </c>
      <c r="F88" s="22">
        <f>29/F87</f>
        <v>6.236559139784946E-2</v>
      </c>
      <c r="G88" s="22">
        <f>35/G87</f>
        <v>8.9974293059125965E-2</v>
      </c>
      <c r="I88" s="22">
        <f>(29+36)/I87</f>
        <v>9.5168374816983897E-2</v>
      </c>
      <c r="J88" s="22">
        <f>(23+27)/J87</f>
        <v>7.3099415204678359E-2</v>
      </c>
      <c r="K88" s="22">
        <f>(36+23)/K87</f>
        <v>8.6637298091042578E-2</v>
      </c>
      <c r="L88" s="22">
        <f>(31+20)/L87</f>
        <v>7.0931849791376914E-2</v>
      </c>
      <c r="R88" s="51">
        <f>(33+18)/R87</f>
        <v>0.10580912863070539</v>
      </c>
      <c r="S88" s="22">
        <f>(25+29)/S87</f>
        <v>8.1942336874051599E-2</v>
      </c>
      <c r="T88" s="22">
        <f>(20+27)/T87</f>
        <v>7.0570570570570576E-2</v>
      </c>
      <c r="U88" s="22">
        <f>(55+26)/U87</f>
        <v>9.4295692665890565E-2</v>
      </c>
      <c r="V88" s="22">
        <f>(39+14)/V87</f>
        <v>9.5667870036101083E-2</v>
      </c>
      <c r="W88" s="11"/>
      <c r="X88" s="42">
        <f>(182+159)/X87</f>
        <v>0.10613134142545907</v>
      </c>
      <c r="Y88" s="22">
        <v>0.1375383267630311</v>
      </c>
      <c r="Z88" s="11"/>
      <c r="AA88" s="26" t="s">
        <v>68</v>
      </c>
      <c r="AB88" s="14"/>
      <c r="AC88" s="85" t="s">
        <v>33</v>
      </c>
      <c r="AD88" s="78" t="s">
        <v>33</v>
      </c>
      <c r="AE88" s="78" t="s">
        <v>33</v>
      </c>
      <c r="AF88" s="27">
        <v>2362</v>
      </c>
      <c r="AG88" s="39">
        <v>1780</v>
      </c>
      <c r="AH88" s="39">
        <v>1499</v>
      </c>
      <c r="AI88" s="39">
        <v>1773</v>
      </c>
      <c r="AJ88" s="39">
        <v>2102</v>
      </c>
      <c r="AK88" s="39">
        <v>2728</v>
      </c>
      <c r="AL88" s="63">
        <v>2126</v>
      </c>
      <c r="AM88" s="63">
        <v>5541</v>
      </c>
      <c r="AN88" s="63">
        <v>4705</v>
      </c>
      <c r="AO88" s="63">
        <v>5380</v>
      </c>
      <c r="AP88" s="63">
        <v>4335</v>
      </c>
      <c r="AQ88" s="136">
        <v>4097</v>
      </c>
      <c r="AR88" s="63">
        <v>4011</v>
      </c>
      <c r="AT88" s="159">
        <v>1172</v>
      </c>
      <c r="AU88" s="159">
        <v>910</v>
      </c>
      <c r="AV88" s="159">
        <v>1086</v>
      </c>
      <c r="AW88" s="159">
        <v>1147</v>
      </c>
      <c r="AX88" s="135"/>
      <c r="AY88" s="159">
        <v>4557</v>
      </c>
      <c r="AZ88" s="136">
        <v>4731</v>
      </c>
      <c r="BA88" s="11"/>
      <c r="BB88" s="114" t="s">
        <v>33</v>
      </c>
    </row>
    <row r="89" spans="1:54">
      <c r="A89" s="182"/>
      <c r="B89" s="169"/>
      <c r="C89" s="6" t="s">
        <v>119</v>
      </c>
      <c r="D89" s="14"/>
      <c r="E89" s="14"/>
      <c r="F89" s="14"/>
      <c r="G89" s="14"/>
      <c r="I89" s="14"/>
      <c r="J89" s="14"/>
      <c r="K89" s="14"/>
      <c r="L89" s="14"/>
      <c r="R89" s="14"/>
      <c r="S89" s="14"/>
      <c r="T89" s="14"/>
      <c r="U89" s="14"/>
      <c r="V89" s="14"/>
      <c r="W89" s="11"/>
      <c r="X89" s="14"/>
      <c r="Y89" s="14"/>
      <c r="Z89" s="11"/>
      <c r="AA89" s="14"/>
      <c r="AB89" s="14"/>
      <c r="AC89" s="86">
        <v>2163</v>
      </c>
      <c r="AD89" s="80">
        <v>1992</v>
      </c>
      <c r="AE89" s="80">
        <v>1874</v>
      </c>
      <c r="AF89" s="20">
        <v>2137</v>
      </c>
      <c r="AG89" s="39">
        <v>1755</v>
      </c>
      <c r="AH89" s="39">
        <v>2234</v>
      </c>
      <c r="AI89" s="39">
        <v>2676</v>
      </c>
      <c r="AJ89" s="39">
        <v>2756</v>
      </c>
      <c r="AK89" s="39">
        <v>2862</v>
      </c>
      <c r="AL89" s="101">
        <v>3053</v>
      </c>
      <c r="AM89" s="101">
        <v>3106</v>
      </c>
      <c r="AN89" s="101">
        <v>2797</v>
      </c>
      <c r="AO89" s="101">
        <v>3210</v>
      </c>
      <c r="AP89" s="101">
        <v>3075</v>
      </c>
      <c r="AQ89" s="137">
        <v>3243</v>
      </c>
      <c r="AR89" s="101">
        <v>2538</v>
      </c>
      <c r="AT89" s="140">
        <v>1038</v>
      </c>
      <c r="AU89" s="140">
        <v>673</v>
      </c>
      <c r="AV89" s="140">
        <v>761</v>
      </c>
      <c r="AW89" s="140">
        <v>670</v>
      </c>
      <c r="AX89" s="135"/>
      <c r="AY89" s="140">
        <v>3402</v>
      </c>
      <c r="AZ89" s="137">
        <v>3372</v>
      </c>
      <c r="BA89" s="11"/>
      <c r="BB89" s="133" t="s">
        <v>33</v>
      </c>
    </row>
    <row r="90" spans="1:54">
      <c r="A90" s="182"/>
      <c r="D90" s="23">
        <v>0.97760000000000002</v>
      </c>
      <c r="E90" s="23">
        <v>0.96250000000000002</v>
      </c>
      <c r="F90" s="23">
        <v>0.97340000000000004</v>
      </c>
      <c r="G90" s="23">
        <v>0.98699999999999999</v>
      </c>
      <c r="I90" s="23">
        <v>0.97640000000000005</v>
      </c>
      <c r="J90" s="23">
        <v>0.99039999999999995</v>
      </c>
      <c r="K90" s="23">
        <v>0.99809999999999999</v>
      </c>
      <c r="L90" s="23">
        <v>0.98250000000000004</v>
      </c>
      <c r="R90" s="46">
        <v>0.96760000000000002</v>
      </c>
      <c r="S90" s="23">
        <v>0.99790000000000001</v>
      </c>
      <c r="T90" s="23">
        <v>0.97350000000000003</v>
      </c>
      <c r="U90" s="23">
        <v>0.97019999999999995</v>
      </c>
      <c r="V90" s="23">
        <v>0.98750000000000004</v>
      </c>
      <c r="W90" s="11"/>
      <c r="X90" s="24">
        <f>AVERAGE(R90:V90)</f>
        <v>0.97933999999999999</v>
      </c>
      <c r="Y90" s="23">
        <v>0.98685</v>
      </c>
      <c r="Z90" s="11"/>
      <c r="AA90" s="32" t="s">
        <v>64</v>
      </c>
      <c r="AB90" s="33"/>
      <c r="BA90" s="11"/>
      <c r="BB90" s="141"/>
    </row>
    <row r="91" spans="1:54">
      <c r="A91" s="182"/>
      <c r="B91" s="177" t="s">
        <v>38</v>
      </c>
      <c r="C91" s="5" t="s">
        <v>120</v>
      </c>
      <c r="D91" s="14"/>
      <c r="E91" s="14"/>
      <c r="F91" s="14"/>
      <c r="G91" s="14"/>
      <c r="I91" s="14"/>
      <c r="J91" s="14"/>
      <c r="K91" s="14"/>
      <c r="L91" s="14"/>
      <c r="R91" s="14"/>
      <c r="S91" s="14"/>
      <c r="T91" s="14"/>
      <c r="U91" s="14"/>
      <c r="V91" s="14"/>
      <c r="W91" s="11"/>
      <c r="X91" s="14"/>
      <c r="Y91" s="14"/>
      <c r="Z91" s="11"/>
      <c r="AA91" s="14"/>
      <c r="AB91" s="14"/>
      <c r="AC91" s="83" t="s">
        <v>33</v>
      </c>
      <c r="AD91" s="83" t="s">
        <v>33</v>
      </c>
      <c r="AE91" s="83" t="s">
        <v>33</v>
      </c>
      <c r="AF91" s="83" t="s">
        <v>33</v>
      </c>
      <c r="AG91" s="83" t="s">
        <v>33</v>
      </c>
      <c r="AH91" s="83" t="s">
        <v>33</v>
      </c>
      <c r="AI91" s="83" t="s">
        <v>33</v>
      </c>
      <c r="AJ91" s="83" t="s">
        <v>33</v>
      </c>
      <c r="AK91" s="83" t="s">
        <v>33</v>
      </c>
      <c r="AL91" s="83" t="s">
        <v>33</v>
      </c>
      <c r="AM91" s="83" t="s">
        <v>33</v>
      </c>
      <c r="AN91" s="83" t="s">
        <v>33</v>
      </c>
      <c r="AO91" s="83" t="s">
        <v>33</v>
      </c>
      <c r="AP91" s="42" t="s">
        <v>33</v>
      </c>
      <c r="AQ91" s="139">
        <v>0.30149999999999999</v>
      </c>
      <c r="AR91" s="42">
        <v>0.25190000000000001</v>
      </c>
      <c r="AT91" s="69">
        <v>0.35849999999999999</v>
      </c>
      <c r="AU91" s="69">
        <v>0.2427</v>
      </c>
      <c r="AV91" s="69">
        <v>0.2823</v>
      </c>
      <c r="AW91" s="69">
        <v>0.25190000000000001</v>
      </c>
      <c r="AX91" s="11"/>
      <c r="AY91" s="69">
        <v>0.28999999999999998</v>
      </c>
      <c r="AZ91" s="42">
        <v>0.28260000000000002</v>
      </c>
      <c r="BA91" s="11"/>
      <c r="BB91" s="63" t="s">
        <v>33</v>
      </c>
    </row>
    <row r="92" spans="1:54">
      <c r="A92" s="182"/>
      <c r="B92" s="178"/>
      <c r="C92" s="5" t="s">
        <v>121</v>
      </c>
      <c r="D92" s="27">
        <v>215</v>
      </c>
      <c r="E92" s="27">
        <v>205</v>
      </c>
      <c r="F92" s="27">
        <v>194</v>
      </c>
      <c r="G92" s="27">
        <v>389</v>
      </c>
      <c r="I92" s="27">
        <v>41</v>
      </c>
      <c r="J92" s="27">
        <v>103</v>
      </c>
      <c r="K92" s="27">
        <v>161</v>
      </c>
      <c r="L92" s="27">
        <v>315</v>
      </c>
      <c r="R92" s="49">
        <v>92</v>
      </c>
      <c r="S92" s="27">
        <v>218</v>
      </c>
      <c r="T92" s="27">
        <v>241</v>
      </c>
      <c r="U92" s="27">
        <v>315</v>
      </c>
      <c r="V92" s="27">
        <v>287</v>
      </c>
      <c r="W92" s="11"/>
      <c r="X92" s="45">
        <v>287</v>
      </c>
      <c r="Y92" s="27">
        <v>306</v>
      </c>
      <c r="Z92" s="11"/>
      <c r="AA92" s="25" t="s">
        <v>33</v>
      </c>
      <c r="AB92" s="14"/>
      <c r="AC92" s="83" t="s">
        <v>33</v>
      </c>
      <c r="AD92" s="83" t="s">
        <v>33</v>
      </c>
      <c r="AE92" s="83" t="s">
        <v>33</v>
      </c>
      <c r="AF92" s="83" t="s">
        <v>33</v>
      </c>
      <c r="AG92" s="83" t="s">
        <v>33</v>
      </c>
      <c r="AH92" s="83" t="s">
        <v>33</v>
      </c>
      <c r="AI92" s="83" t="s">
        <v>33</v>
      </c>
      <c r="AJ92" s="83" t="s">
        <v>33</v>
      </c>
      <c r="AK92" s="83" t="s">
        <v>33</v>
      </c>
      <c r="AL92" s="83" t="s">
        <v>33</v>
      </c>
      <c r="AM92" s="83" t="s">
        <v>33</v>
      </c>
      <c r="AN92" s="83" t="s">
        <v>33</v>
      </c>
      <c r="AO92" s="83" t="s">
        <v>33</v>
      </c>
      <c r="AP92" s="42" t="s">
        <v>33</v>
      </c>
      <c r="AQ92" s="139">
        <v>0.12770000000000001</v>
      </c>
      <c r="AR92" s="42">
        <v>0.14030000000000001</v>
      </c>
      <c r="AT92" s="69">
        <v>0.1089</v>
      </c>
      <c r="AU92" s="69">
        <v>0.1575</v>
      </c>
      <c r="AV92" s="69">
        <v>0.1656</v>
      </c>
      <c r="AW92" s="69">
        <v>0.28810000000000002</v>
      </c>
      <c r="AX92" s="11"/>
      <c r="AY92" s="69">
        <v>0.1464</v>
      </c>
      <c r="AZ92" s="42">
        <v>0.1512</v>
      </c>
      <c r="BA92" s="11"/>
      <c r="BB92" s="124">
        <v>0.2</v>
      </c>
    </row>
    <row r="93" spans="1:54">
      <c r="A93" s="182"/>
      <c r="D93" s="22">
        <v>1.5E-3</v>
      </c>
      <c r="E93" s="22">
        <v>1.4E-3</v>
      </c>
      <c r="F93" s="22">
        <v>1.4E-3</v>
      </c>
      <c r="G93" s="22">
        <f>G92/141786</f>
        <v>2.7435712975893249E-3</v>
      </c>
      <c r="I93" s="22">
        <f>I92/142343</f>
        <v>2.8803664388132893E-4</v>
      </c>
      <c r="J93" s="22">
        <f>J92/142552</f>
        <v>7.2254335260115603E-4</v>
      </c>
      <c r="K93" s="22">
        <f>K92/142556</f>
        <v>1.1293807345885126E-3</v>
      </c>
      <c r="L93" s="22">
        <f>L92/143076</f>
        <v>2.2016271072716597E-3</v>
      </c>
      <c r="R93" s="50">
        <f>R92/143184</f>
        <v>6.4252989160800095E-4</v>
      </c>
      <c r="S93" s="50">
        <f>S92/143380</f>
        <v>1.5204352071418608E-3</v>
      </c>
      <c r="T93" s="50">
        <f>T92/143688</f>
        <v>1.6772451422526586E-3</v>
      </c>
      <c r="U93" s="22">
        <f>U92/143688</f>
        <v>2.1922498747285785E-3</v>
      </c>
      <c r="V93" s="22">
        <f>V92/143464</f>
        <v>2.0005018680644623E-3</v>
      </c>
      <c r="W93" s="11"/>
      <c r="X93" s="46">
        <f>X92/143464</f>
        <v>2.0005018680644623E-3</v>
      </c>
      <c r="Y93" s="22">
        <v>2.1371102916526987E-3</v>
      </c>
      <c r="Z93" s="11"/>
      <c r="AA93" s="21">
        <v>1.2E-2</v>
      </c>
      <c r="AB93" s="28"/>
      <c r="BA93" s="11"/>
      <c r="BB93" s="97"/>
    </row>
    <row r="94" spans="1:54">
      <c r="A94" s="182"/>
      <c r="B94" s="5" t="s">
        <v>90</v>
      </c>
      <c r="C94" s="5" t="s">
        <v>122</v>
      </c>
      <c r="D94" s="20">
        <v>258</v>
      </c>
      <c r="E94" s="20">
        <v>246</v>
      </c>
      <c r="F94" s="20">
        <v>233</v>
      </c>
      <c r="G94" s="20">
        <v>135</v>
      </c>
      <c r="I94" s="20">
        <v>18</v>
      </c>
      <c r="J94" s="20">
        <v>42</v>
      </c>
      <c r="K94" s="20">
        <v>11</v>
      </c>
      <c r="L94" s="20">
        <v>56</v>
      </c>
      <c r="R94" s="54">
        <v>43</v>
      </c>
      <c r="S94" s="20">
        <v>74</v>
      </c>
      <c r="T94" s="20">
        <v>79</v>
      </c>
      <c r="U94" s="20">
        <v>38</v>
      </c>
      <c r="V94" s="20">
        <v>31</v>
      </c>
      <c r="W94" s="11"/>
      <c r="X94" s="45">
        <v>31</v>
      </c>
      <c r="Y94" s="20">
        <v>58</v>
      </c>
      <c r="Z94" s="11"/>
      <c r="AA94" s="21" t="s">
        <v>33</v>
      </c>
      <c r="AB94" s="28"/>
      <c r="AC94" s="76" t="s">
        <v>33</v>
      </c>
      <c r="AD94" s="78" t="s">
        <v>33</v>
      </c>
      <c r="AE94" s="78">
        <v>82</v>
      </c>
      <c r="AF94" s="27">
        <v>48</v>
      </c>
      <c r="AG94" s="27">
        <v>136</v>
      </c>
      <c r="AH94" s="27">
        <v>565</v>
      </c>
      <c r="AI94" s="27">
        <v>390</v>
      </c>
      <c r="AJ94" s="27">
        <v>333</v>
      </c>
      <c r="AK94" s="27">
        <v>392</v>
      </c>
      <c r="AL94" s="63">
        <v>527</v>
      </c>
      <c r="AM94" s="63">
        <v>647</v>
      </c>
      <c r="AN94" s="63">
        <v>433</v>
      </c>
      <c r="AO94" s="63">
        <v>472</v>
      </c>
      <c r="AP94" s="63">
        <v>678</v>
      </c>
      <c r="AQ94" s="136">
        <v>577</v>
      </c>
      <c r="AR94" s="63">
        <v>328</v>
      </c>
      <c r="AT94" s="117">
        <v>282</v>
      </c>
      <c r="AU94" s="117">
        <v>489</v>
      </c>
      <c r="AV94" s="117">
        <v>624</v>
      </c>
      <c r="AW94" s="117">
        <v>731</v>
      </c>
      <c r="AX94" s="11"/>
      <c r="AY94" s="117">
        <v>709</v>
      </c>
      <c r="AZ94" s="63">
        <v>814</v>
      </c>
      <c r="BA94" s="11"/>
      <c r="BB94" s="114" t="s">
        <v>33</v>
      </c>
    </row>
    <row r="95" spans="1:54">
      <c r="A95" s="182"/>
      <c r="D95" s="22">
        <v>5.2999999999999999E-2</v>
      </c>
      <c r="E95" s="22">
        <v>7.8E-2</v>
      </c>
      <c r="F95" s="22">
        <v>9.6000000000000002E-2</v>
      </c>
      <c r="G95" s="22">
        <f>G94/110555</f>
        <v>1.221111663877708E-3</v>
      </c>
      <c r="I95" s="22">
        <f>I94/110765</f>
        <v>1.625062068342888E-4</v>
      </c>
      <c r="J95" s="22">
        <f>J94/110936</f>
        <v>3.7859666834931852E-4</v>
      </c>
      <c r="K95" s="22">
        <f>K94/111192</f>
        <v>9.8927980430246778E-5</v>
      </c>
      <c r="L95" s="22">
        <f>L94/111768</f>
        <v>5.01037864147162E-4</v>
      </c>
      <c r="R95" s="51">
        <f>R94/111484</f>
        <v>3.857055721000323E-4</v>
      </c>
      <c r="S95" s="51">
        <f>S94/111484</f>
        <v>6.6377237989307877E-4</v>
      </c>
      <c r="T95" s="51">
        <f>T94/111925</f>
        <v>7.058297967388877E-4</v>
      </c>
      <c r="U95" s="22">
        <f>U94/111925</f>
        <v>3.3951306678579407E-4</v>
      </c>
      <c r="V95" s="22">
        <f>V94/112253</f>
        <v>2.7616188431489581E-4</v>
      </c>
      <c r="W95" s="11"/>
      <c r="X95" s="46">
        <f>X94/112253</f>
        <v>2.7616188431489581E-4</v>
      </c>
      <c r="Y95" s="22">
        <v>5.2025402748376445E-4</v>
      </c>
      <c r="Z95" s="11"/>
      <c r="AA95" s="21">
        <v>1.2E-2</v>
      </c>
      <c r="AB95" s="28"/>
      <c r="BA95" s="11"/>
      <c r="BB95" s="97"/>
    </row>
    <row r="96" spans="1:54">
      <c r="A96" s="182"/>
      <c r="B96" s="5" t="s">
        <v>123</v>
      </c>
      <c r="C96" s="5" t="s">
        <v>124</v>
      </c>
      <c r="I96" s="11"/>
      <c r="J96" s="11"/>
      <c r="K96" s="11"/>
      <c r="L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83">
        <v>0.1275</v>
      </c>
      <c r="AD96" s="84">
        <v>0.10920000000000001</v>
      </c>
      <c r="AE96" s="84">
        <v>0.107</v>
      </c>
      <c r="AF96" s="23">
        <v>0.112</v>
      </c>
      <c r="AG96" s="23">
        <v>0.12293853073463268</v>
      </c>
      <c r="AH96" s="69">
        <v>0.112</v>
      </c>
      <c r="AI96" s="69">
        <v>0.1074</v>
      </c>
      <c r="AJ96" s="69">
        <v>0.12</v>
      </c>
      <c r="AK96" s="69">
        <v>0.126</v>
      </c>
      <c r="AL96" s="113">
        <v>0.1368</v>
      </c>
      <c r="AM96" s="113">
        <v>0.12330000000000001</v>
      </c>
      <c r="AN96" s="113">
        <v>0.107</v>
      </c>
      <c r="AO96" s="113">
        <v>0.124</v>
      </c>
      <c r="AP96" s="113">
        <v>0.11700000000000001</v>
      </c>
      <c r="AQ96" s="113">
        <v>0.10009999999999999</v>
      </c>
      <c r="AR96" s="113">
        <v>9.8400000000000001E-2</v>
      </c>
      <c r="AT96" s="69">
        <v>7.3200000000000001E-2</v>
      </c>
      <c r="AU96" s="69">
        <v>0.1226</v>
      </c>
      <c r="AV96" s="69">
        <v>0.1182</v>
      </c>
      <c r="AW96" s="69">
        <v>9.2100000000000001E-2</v>
      </c>
      <c r="AX96" s="11"/>
      <c r="AY96" s="69">
        <v>9.9000000000000005E-2</v>
      </c>
      <c r="AZ96" s="42">
        <v>9.8000000000000004E-2</v>
      </c>
      <c r="BA96" s="11"/>
      <c r="BB96" s="63" t="s">
        <v>68</v>
      </c>
    </row>
    <row r="97" spans="1:54" ht="15" customHeight="1">
      <c r="D97" s="17">
        <v>903</v>
      </c>
      <c r="E97" s="17">
        <v>3099</v>
      </c>
      <c r="F97" s="17">
        <v>2891</v>
      </c>
      <c r="G97" s="27">
        <v>2899</v>
      </c>
      <c r="I97" s="17">
        <v>2253</v>
      </c>
      <c r="J97" s="17">
        <v>2923</v>
      </c>
      <c r="K97" s="17">
        <v>2896</v>
      </c>
      <c r="L97" s="27">
        <v>3121</v>
      </c>
      <c r="R97" s="45">
        <v>1887</v>
      </c>
      <c r="S97" s="27">
        <v>2838</v>
      </c>
      <c r="T97" s="27">
        <v>2672</v>
      </c>
      <c r="U97" s="27">
        <v>3238</v>
      </c>
      <c r="V97" s="27">
        <v>2627</v>
      </c>
      <c r="W97" s="11"/>
      <c r="X97" s="25">
        <f>SUM(R97:V97)</f>
        <v>13262</v>
      </c>
      <c r="Y97" s="27">
        <v>12270</v>
      </c>
      <c r="Z97" s="11"/>
      <c r="AA97" s="16" t="s">
        <v>33</v>
      </c>
      <c r="AB97" s="71"/>
      <c r="BA97" s="11"/>
      <c r="BB97" s="11"/>
    </row>
    <row r="98" spans="1:54">
      <c r="A98" s="148" t="s">
        <v>125</v>
      </c>
      <c r="B98" s="183" t="s">
        <v>126</v>
      </c>
      <c r="C98" s="5" t="s">
        <v>127</v>
      </c>
      <c r="D98" s="14"/>
      <c r="E98" s="14"/>
      <c r="F98" s="14"/>
      <c r="G98" s="14"/>
      <c r="I98" s="14"/>
      <c r="J98" s="14"/>
      <c r="K98" s="14"/>
      <c r="L98" s="14"/>
      <c r="R98" s="14"/>
      <c r="S98" s="14"/>
      <c r="T98" s="14"/>
      <c r="U98" s="14"/>
      <c r="V98" s="14"/>
      <c r="W98" s="11"/>
      <c r="X98" s="14"/>
      <c r="Y98" s="14"/>
      <c r="Z98" s="11"/>
      <c r="AA98" s="14"/>
      <c r="AB98" s="14"/>
      <c r="AC98" s="76" t="s">
        <v>33</v>
      </c>
      <c r="AD98" s="77" t="s">
        <v>33</v>
      </c>
      <c r="AE98" s="78">
        <v>2334</v>
      </c>
      <c r="AF98" s="27">
        <v>2283</v>
      </c>
      <c r="AG98" s="39">
        <v>3213</v>
      </c>
      <c r="AH98" s="39">
        <v>3463</v>
      </c>
      <c r="AI98" s="39">
        <v>3694</v>
      </c>
      <c r="AJ98" s="39">
        <v>3660</v>
      </c>
      <c r="AK98" s="39">
        <v>3535</v>
      </c>
      <c r="AL98" s="63">
        <v>3659</v>
      </c>
      <c r="AM98" s="63">
        <v>3572</v>
      </c>
      <c r="AN98" s="63">
        <v>4111</v>
      </c>
      <c r="AO98" s="63">
        <v>3485</v>
      </c>
      <c r="AP98" s="63">
        <v>4349</v>
      </c>
      <c r="AQ98" s="63">
        <v>3491</v>
      </c>
      <c r="AR98" s="63">
        <v>3588</v>
      </c>
      <c r="AT98" s="117">
        <v>748</v>
      </c>
      <c r="AU98" s="117">
        <v>661</v>
      </c>
      <c r="AV98" s="117">
        <v>756</v>
      </c>
      <c r="AW98" s="117">
        <v>711</v>
      </c>
      <c r="AX98" s="11"/>
      <c r="AY98" s="117">
        <v>3091</v>
      </c>
      <c r="AZ98" s="63">
        <v>3133</v>
      </c>
      <c r="BA98" s="11"/>
      <c r="BB98" s="114" t="s">
        <v>33</v>
      </c>
    </row>
    <row r="99" spans="1:54">
      <c r="A99" s="149"/>
      <c r="B99" s="188"/>
      <c r="C99" s="6" t="s">
        <v>128</v>
      </c>
      <c r="D99" s="23">
        <v>0.88260000000000005</v>
      </c>
      <c r="E99" s="23">
        <v>0.86870000000000003</v>
      </c>
      <c r="F99" s="23">
        <v>0.91659999999999997</v>
      </c>
      <c r="G99" s="23">
        <v>0.92410000000000003</v>
      </c>
      <c r="I99" s="23">
        <v>0.87880000000000003</v>
      </c>
      <c r="J99" s="23">
        <v>0.96030000000000004</v>
      </c>
      <c r="K99" s="23">
        <v>0.95579999999999998</v>
      </c>
      <c r="L99" s="23">
        <v>0.96699999999999997</v>
      </c>
      <c r="R99" s="52">
        <v>0.92369999999999997</v>
      </c>
      <c r="S99" s="23">
        <v>0.92920000000000003</v>
      </c>
      <c r="T99" s="23">
        <v>0.94720000000000004</v>
      </c>
      <c r="U99" s="23">
        <v>0.90429999999999999</v>
      </c>
      <c r="V99" s="23">
        <v>0.88619999999999999</v>
      </c>
      <c r="W99" s="11"/>
      <c r="X99" s="24">
        <v>0.91820000000000002</v>
      </c>
      <c r="Y99" s="23">
        <v>0.94310000000000005</v>
      </c>
      <c r="Z99" s="11"/>
      <c r="AA99" s="32">
        <v>0.85</v>
      </c>
      <c r="AB99" s="33"/>
      <c r="AC99" s="81" t="s">
        <v>33</v>
      </c>
      <c r="AD99" s="82" t="s">
        <v>33</v>
      </c>
      <c r="AE99" s="82">
        <v>7.9052134032626287E-2</v>
      </c>
      <c r="AF99" s="22">
        <v>0.1375383267630311</v>
      </c>
      <c r="AG99" s="69">
        <v>0.10613134142545907</v>
      </c>
      <c r="AH99" s="69">
        <v>9.1250360958706325E-2</v>
      </c>
      <c r="AI99" s="69">
        <v>0.1153</v>
      </c>
      <c r="AJ99" s="69">
        <v>0.10299999999999999</v>
      </c>
      <c r="AK99" s="69">
        <v>0.1225</v>
      </c>
      <c r="AL99" s="42">
        <v>0.1011</v>
      </c>
      <c r="AM99" s="42">
        <v>9.1499999999999998E-2</v>
      </c>
      <c r="AN99" s="42">
        <v>5.1799999999999999E-2</v>
      </c>
      <c r="AO99" s="42">
        <v>4.7100000000000003E-2</v>
      </c>
      <c r="AP99" s="42">
        <v>4.9399999999999999E-2</v>
      </c>
      <c r="AQ99" s="42">
        <v>4.53E-2</v>
      </c>
      <c r="AR99" s="42">
        <v>4.9299999999999997E-2</v>
      </c>
      <c r="AT99" s="69">
        <v>4.8099999999999997E-2</v>
      </c>
      <c r="AU99" s="69">
        <v>5.1400000000000001E-2</v>
      </c>
      <c r="AV99" s="69">
        <v>5.6899999999999999E-2</v>
      </c>
      <c r="AW99" s="69">
        <v>4.0800000000000003E-2</v>
      </c>
      <c r="AX99" s="11"/>
      <c r="AY99" s="69">
        <v>4.9799999999999997E-2</v>
      </c>
      <c r="AZ99" s="42">
        <v>4.5999999999999999E-2</v>
      </c>
      <c r="BA99" s="11"/>
      <c r="BB99" s="160" t="s">
        <v>68</v>
      </c>
    </row>
    <row r="100" spans="1:54">
      <c r="A100" s="149"/>
      <c r="B100" s="184"/>
      <c r="C100" s="5" t="s">
        <v>129</v>
      </c>
      <c r="D100" s="22">
        <v>1.3599999999999999E-2</v>
      </c>
      <c r="E100" s="22">
        <v>1.9199999999999998E-2</v>
      </c>
      <c r="F100" s="22">
        <v>1.26E-2</v>
      </c>
      <c r="G100" s="22">
        <v>1.1900000000000001E-2</v>
      </c>
      <c r="I100" s="22">
        <v>1.32E-2</v>
      </c>
      <c r="J100" s="22">
        <v>4.5999999999999999E-3</v>
      </c>
      <c r="K100" s="22">
        <v>4.3E-3</v>
      </c>
      <c r="L100" s="22">
        <v>5.3E-3</v>
      </c>
      <c r="R100" s="51">
        <v>7.7000000000000002E-3</v>
      </c>
      <c r="S100" s="22">
        <v>1.35E-2</v>
      </c>
      <c r="T100" s="22">
        <v>9.7000000000000003E-3</v>
      </c>
      <c r="U100" s="22">
        <v>1.2699999999999999E-2</v>
      </c>
      <c r="V100" s="22">
        <v>2.7300000000000001E-2</v>
      </c>
      <c r="W100" s="11"/>
      <c r="X100" s="21">
        <v>1.43E-2</v>
      </c>
      <c r="Y100" s="23">
        <v>6.6E-3</v>
      </c>
      <c r="Z100" s="11"/>
      <c r="AA100" s="26" t="s">
        <v>130</v>
      </c>
      <c r="AB100" s="14"/>
      <c r="AC100" s="81" t="s">
        <v>33</v>
      </c>
      <c r="AD100" s="82" t="s">
        <v>33</v>
      </c>
      <c r="AE100" s="81" t="s">
        <v>33</v>
      </c>
      <c r="AF100" s="82" t="s">
        <v>33</v>
      </c>
      <c r="AG100" s="81" t="s">
        <v>33</v>
      </c>
      <c r="AH100" s="82" t="s">
        <v>33</v>
      </c>
      <c r="AI100" s="81" t="s">
        <v>33</v>
      </c>
      <c r="AJ100" s="82" t="s">
        <v>33</v>
      </c>
      <c r="AK100" s="81" t="s">
        <v>33</v>
      </c>
      <c r="AL100" s="82" t="s">
        <v>33</v>
      </c>
      <c r="AM100" s="81" t="s">
        <v>33</v>
      </c>
      <c r="AN100" s="82" t="s">
        <v>33</v>
      </c>
      <c r="AO100" s="81" t="s">
        <v>33</v>
      </c>
      <c r="AP100" s="82" t="s">
        <v>33</v>
      </c>
      <c r="AQ100" s="81" t="s">
        <v>33</v>
      </c>
      <c r="AR100" s="82" t="s">
        <v>33</v>
      </c>
      <c r="AT100" s="117">
        <v>18</v>
      </c>
      <c r="AU100" s="117">
        <v>15</v>
      </c>
      <c r="AV100" s="117">
        <v>29</v>
      </c>
      <c r="AW100" s="117">
        <v>29</v>
      </c>
      <c r="AX100" s="11"/>
      <c r="AY100" s="117">
        <v>100</v>
      </c>
      <c r="AZ100" s="42" t="s">
        <v>33</v>
      </c>
      <c r="BA100" s="11"/>
      <c r="BB100" s="117"/>
    </row>
    <row r="101" spans="1:54">
      <c r="A101" s="149"/>
      <c r="D101" s="14"/>
      <c r="E101" s="14"/>
      <c r="F101" s="14"/>
      <c r="G101" s="14"/>
      <c r="I101" s="14"/>
      <c r="J101" s="14"/>
      <c r="K101" s="14"/>
      <c r="L101" s="14"/>
      <c r="R101" s="14"/>
      <c r="S101" s="14"/>
      <c r="T101" s="14"/>
      <c r="U101" s="14"/>
      <c r="V101" s="14"/>
      <c r="W101" s="11"/>
      <c r="X101" s="14"/>
      <c r="Y101" s="14"/>
      <c r="Z101" s="11"/>
      <c r="AA101" s="14"/>
      <c r="AB101" s="14"/>
      <c r="BA101" s="11"/>
      <c r="BB101" s="97"/>
    </row>
    <row r="102" spans="1:54">
      <c r="A102" s="149"/>
      <c r="B102" s="5" t="s">
        <v>38</v>
      </c>
      <c r="C102" s="5" t="s">
        <v>131</v>
      </c>
      <c r="D102" s="27" t="s">
        <v>33</v>
      </c>
      <c r="E102" s="27" t="s">
        <v>33</v>
      </c>
      <c r="F102" s="27" t="s">
        <v>33</v>
      </c>
      <c r="G102" s="23">
        <v>0.93520000000000003</v>
      </c>
      <c r="I102" s="23">
        <v>0.95099999999999996</v>
      </c>
      <c r="J102" s="23">
        <v>0.94730000000000003</v>
      </c>
      <c r="K102" s="23">
        <v>0.93910000000000005</v>
      </c>
      <c r="L102" s="23">
        <v>0.94410000000000005</v>
      </c>
      <c r="R102" s="46">
        <v>0.96630000000000005</v>
      </c>
      <c r="S102" s="23">
        <v>0.95740000000000003</v>
      </c>
      <c r="T102" s="23">
        <v>0.94989999999999997</v>
      </c>
      <c r="U102" s="23">
        <v>0.95069999999999999</v>
      </c>
      <c r="V102" s="23">
        <v>0.94740000000000002</v>
      </c>
      <c r="W102" s="11"/>
      <c r="X102" s="24">
        <v>0.95320000000000005</v>
      </c>
      <c r="Y102" s="23">
        <v>0.94799999999999995</v>
      </c>
      <c r="Z102" s="11"/>
      <c r="AA102" s="32">
        <v>0.95</v>
      </c>
      <c r="AB102" s="33"/>
      <c r="AC102" s="83" t="s">
        <v>33</v>
      </c>
      <c r="AD102" s="84" t="s">
        <v>33</v>
      </c>
      <c r="AE102" s="84">
        <v>0.97509999999999997</v>
      </c>
      <c r="AF102" s="23">
        <v>0.98685</v>
      </c>
      <c r="AG102" s="69">
        <v>0.97933999999999999</v>
      </c>
      <c r="AH102" s="69">
        <v>0.99260000000000004</v>
      </c>
      <c r="AI102" s="69">
        <v>0.99819999999999998</v>
      </c>
      <c r="AJ102" s="69">
        <v>0.99729999999999996</v>
      </c>
      <c r="AK102" s="69">
        <v>0.99839999999999995</v>
      </c>
      <c r="AL102" s="42">
        <v>0.99719999999999998</v>
      </c>
      <c r="AM102" s="42">
        <v>0.99680000000000002</v>
      </c>
      <c r="AN102" s="42">
        <v>0.99909999999999999</v>
      </c>
      <c r="AO102" s="42">
        <v>1</v>
      </c>
      <c r="AP102" s="42">
        <v>1</v>
      </c>
      <c r="AQ102" s="42">
        <v>1</v>
      </c>
      <c r="AR102" s="42">
        <v>1</v>
      </c>
      <c r="AT102" s="69">
        <v>1</v>
      </c>
      <c r="AU102" s="69">
        <v>1</v>
      </c>
      <c r="AV102" s="69">
        <v>1</v>
      </c>
      <c r="AW102" s="69">
        <v>1</v>
      </c>
      <c r="AX102" s="11"/>
      <c r="AY102" s="69">
        <v>1</v>
      </c>
      <c r="AZ102" s="42">
        <v>1</v>
      </c>
      <c r="BA102" s="11"/>
      <c r="BB102" s="124" t="s">
        <v>64</v>
      </c>
    </row>
    <row r="103" spans="1:54">
      <c r="A103" s="149"/>
      <c r="B103" s="4"/>
      <c r="C103" s="4"/>
      <c r="AC103" s="73"/>
      <c r="AD103" s="73"/>
      <c r="AE103" s="73"/>
      <c r="BB103" s="97"/>
    </row>
    <row r="104" spans="1:54">
      <c r="A104" s="149"/>
      <c r="B104" s="183" t="s">
        <v>90</v>
      </c>
      <c r="C104" s="5" t="s">
        <v>132</v>
      </c>
      <c r="AC104" s="85" t="s">
        <v>33</v>
      </c>
      <c r="AD104" s="78" t="s">
        <v>33</v>
      </c>
      <c r="AE104" s="78" t="s">
        <v>33</v>
      </c>
      <c r="AF104" s="27">
        <v>306</v>
      </c>
      <c r="AG104" s="27">
        <v>287</v>
      </c>
      <c r="AH104" s="27">
        <v>399</v>
      </c>
      <c r="AI104" s="27">
        <v>338</v>
      </c>
      <c r="AJ104" s="27">
        <v>464</v>
      </c>
      <c r="AK104" s="27">
        <v>401</v>
      </c>
      <c r="AL104" s="117">
        <v>401</v>
      </c>
      <c r="AM104" s="117">
        <v>395</v>
      </c>
      <c r="AN104" s="117">
        <v>1351</v>
      </c>
      <c r="AO104" s="117">
        <v>1454</v>
      </c>
      <c r="AP104" s="117">
        <v>1498</v>
      </c>
      <c r="AQ104" s="117">
        <v>1595</v>
      </c>
      <c r="AR104" s="117">
        <v>1485</v>
      </c>
      <c r="AT104" s="117">
        <v>416</v>
      </c>
      <c r="AU104" s="117">
        <v>860</v>
      </c>
      <c r="AV104" s="117">
        <v>1276</v>
      </c>
      <c r="AW104" s="117">
        <v>1691</v>
      </c>
      <c r="AX104" s="11"/>
      <c r="AY104" s="117">
        <v>1691</v>
      </c>
      <c r="AZ104" s="63">
        <v>1834</v>
      </c>
      <c r="BB104" s="63" t="s">
        <v>33</v>
      </c>
    </row>
    <row r="105" spans="1:54">
      <c r="A105" s="149"/>
      <c r="B105" s="188"/>
      <c r="C105" s="5" t="s">
        <v>133</v>
      </c>
      <c r="AC105" s="91">
        <v>1.7100000000000001E-2</v>
      </c>
      <c r="AD105" s="92">
        <v>1.6199999999999999E-2</v>
      </c>
      <c r="AE105" s="92">
        <v>1.6500000000000001E-2</v>
      </c>
      <c r="AF105" s="22">
        <v>2.1371102916526987E-3</v>
      </c>
      <c r="AG105" s="22">
        <v>2.0005018680644623E-3</v>
      </c>
      <c r="AH105" s="22">
        <v>2.7641341471018157E-3</v>
      </c>
      <c r="AI105" s="22">
        <v>2.3E-3</v>
      </c>
      <c r="AJ105" s="22">
        <v>3.2000000000000002E-3</v>
      </c>
      <c r="AK105" s="22">
        <v>2.7000000000000001E-3</v>
      </c>
      <c r="AL105" s="121">
        <v>2.7000000000000001E-3</v>
      </c>
      <c r="AM105" s="121">
        <v>2.5999999999999999E-3</v>
      </c>
      <c r="AN105" s="121">
        <v>8.9999999999999993E-3</v>
      </c>
      <c r="AO105" s="121">
        <v>9.5999999999999992E-3</v>
      </c>
      <c r="AP105" s="121">
        <v>9.9000000000000008E-3</v>
      </c>
      <c r="AQ105" s="121">
        <v>1.04E-2</v>
      </c>
      <c r="AR105" s="121">
        <v>9.7000000000000003E-3</v>
      </c>
      <c r="AT105" s="69">
        <v>2.7000000000000001E-3</v>
      </c>
      <c r="AU105" s="69">
        <v>5.5999999999999999E-3</v>
      </c>
      <c r="AV105" s="69">
        <v>8.2000000000000007E-3</v>
      </c>
      <c r="AW105" s="69">
        <v>1.0800000000000001E-2</v>
      </c>
      <c r="AX105" s="11"/>
      <c r="AY105" s="69">
        <v>1.0800000000000001E-2</v>
      </c>
      <c r="AZ105" s="42">
        <v>1.1900000000000001E-2</v>
      </c>
      <c r="BB105" s="43">
        <v>1.2E-2</v>
      </c>
    </row>
    <row r="106" spans="1:54">
      <c r="A106" s="149"/>
      <c r="B106" s="188"/>
      <c r="C106" s="6" t="s">
        <v>134</v>
      </c>
      <c r="AC106" s="93" t="s">
        <v>33</v>
      </c>
      <c r="AD106" s="93" t="s">
        <v>33</v>
      </c>
      <c r="AE106" s="94" t="s">
        <v>33</v>
      </c>
      <c r="AF106" s="20">
        <v>58</v>
      </c>
      <c r="AG106" s="20">
        <v>31</v>
      </c>
      <c r="AH106" s="20">
        <v>20</v>
      </c>
      <c r="AI106" s="20">
        <v>10</v>
      </c>
      <c r="AJ106" s="20">
        <v>16</v>
      </c>
      <c r="AK106" s="20">
        <v>30</v>
      </c>
      <c r="AL106" s="117">
        <v>28</v>
      </c>
      <c r="AM106" s="117">
        <v>20</v>
      </c>
      <c r="AN106" s="117">
        <v>83</v>
      </c>
      <c r="AO106" s="117">
        <v>137</v>
      </c>
      <c r="AP106" s="117">
        <v>386</v>
      </c>
      <c r="AQ106" s="117">
        <v>93</v>
      </c>
      <c r="AR106" s="117">
        <v>122</v>
      </c>
      <c r="AT106" s="120">
        <v>24</v>
      </c>
      <c r="AU106" s="120">
        <v>43</v>
      </c>
      <c r="AV106" s="120">
        <v>71</v>
      </c>
      <c r="AW106" s="120">
        <v>97</v>
      </c>
      <c r="AX106" s="11"/>
      <c r="AY106" s="120">
        <v>97</v>
      </c>
      <c r="AZ106" s="117">
        <v>112</v>
      </c>
      <c r="BB106" s="43" t="s">
        <v>33</v>
      </c>
    </row>
    <row r="107" spans="1:54">
      <c r="A107" s="150"/>
      <c r="B107" s="184"/>
      <c r="C107" s="6" t="s">
        <v>135</v>
      </c>
      <c r="AC107" s="81">
        <v>3.3999999999999998E-3</v>
      </c>
      <c r="AD107" s="81">
        <v>3.2000000000000002E-3</v>
      </c>
      <c r="AE107" s="81">
        <v>3.2000000000000002E-3</v>
      </c>
      <c r="AF107" s="22">
        <v>5.2025402748376445E-4</v>
      </c>
      <c r="AG107" s="22">
        <v>2.7616188431489581E-4</v>
      </c>
      <c r="AH107" s="22">
        <v>1.3855309008029151E-4</v>
      </c>
      <c r="AI107" s="22">
        <v>1E-4</v>
      </c>
      <c r="AJ107" s="22">
        <v>1E-4</v>
      </c>
      <c r="AK107" s="22">
        <v>2.9999999999999997E-4</v>
      </c>
      <c r="AL107" s="121">
        <v>2.0000000000000001E-4</v>
      </c>
      <c r="AM107" s="121">
        <v>2.0000000000000001E-4</v>
      </c>
      <c r="AN107" s="121">
        <v>6.9999999999999999E-4</v>
      </c>
      <c r="AO107" s="121">
        <v>1.1999999999999999E-3</v>
      </c>
      <c r="AP107" s="121">
        <v>3.2000000000000002E-3</v>
      </c>
      <c r="AQ107" s="121">
        <v>8.0000000000000004E-4</v>
      </c>
      <c r="AR107" s="121">
        <v>1E-3</v>
      </c>
      <c r="AT107" s="121">
        <v>2.0000000000000001E-4</v>
      </c>
      <c r="AU107" s="121">
        <v>4.0000000000000002E-4</v>
      </c>
      <c r="AV107" s="121">
        <v>4.7999999999999996E-3</v>
      </c>
      <c r="AW107" s="121">
        <v>6.4999999999999997E-3</v>
      </c>
      <c r="AX107" s="11"/>
      <c r="AY107" s="121">
        <v>6.4999999999999997E-3</v>
      </c>
      <c r="AZ107" s="121">
        <v>8.9999999999999998E-4</v>
      </c>
      <c r="BB107" s="43">
        <v>1.2E-2</v>
      </c>
    </row>
    <row r="108" spans="1:54" ht="15" customHeight="1">
      <c r="B108" s="4"/>
      <c r="C108" s="4"/>
      <c r="BB108" s="11"/>
    </row>
    <row r="109" spans="1:54" ht="15" customHeight="1">
      <c r="A109" s="163" t="s">
        <v>136</v>
      </c>
      <c r="B109" s="144" t="s">
        <v>55</v>
      </c>
      <c r="C109" s="5" t="s">
        <v>137</v>
      </c>
      <c r="AC109" s="85">
        <v>12940</v>
      </c>
      <c r="AD109" s="78">
        <v>12949</v>
      </c>
      <c r="AE109" s="78">
        <v>13126</v>
      </c>
      <c r="AF109" s="27">
        <v>12270</v>
      </c>
      <c r="AG109" s="39">
        <v>13262</v>
      </c>
      <c r="AH109" s="39">
        <v>12173</v>
      </c>
      <c r="AI109" s="39">
        <v>13107</v>
      </c>
      <c r="AJ109" s="39">
        <v>12008</v>
      </c>
      <c r="AK109" s="39">
        <v>11256</v>
      </c>
      <c r="AL109" s="63">
        <v>11810</v>
      </c>
      <c r="AM109" s="63">
        <v>10816</v>
      </c>
      <c r="AN109" s="63">
        <v>10111</v>
      </c>
      <c r="AO109" s="63">
        <v>11732</v>
      </c>
      <c r="AP109" s="63">
        <v>10470</v>
      </c>
      <c r="AQ109" s="63">
        <v>10244</v>
      </c>
      <c r="AR109" s="63">
        <v>9920</v>
      </c>
      <c r="AT109" s="161">
        <v>2207</v>
      </c>
      <c r="AU109" s="161">
        <v>2310</v>
      </c>
      <c r="AV109" s="161">
        <v>2410</v>
      </c>
      <c r="AW109" s="161">
        <v>2595</v>
      </c>
      <c r="AX109" s="162"/>
      <c r="AY109" s="161">
        <v>9983</v>
      </c>
      <c r="AZ109" s="161">
        <v>9380</v>
      </c>
      <c r="BB109" s="114" t="s">
        <v>33</v>
      </c>
    </row>
    <row r="110" spans="1:54">
      <c r="A110" s="149"/>
      <c r="B110" s="4"/>
      <c r="C110" s="4"/>
      <c r="AC110" s="73"/>
      <c r="AD110" s="73"/>
      <c r="AE110" s="73"/>
      <c r="AF110" s="14"/>
      <c r="AG110" s="14"/>
      <c r="AH110" s="14"/>
      <c r="AI110" s="14"/>
      <c r="AJ110" s="14"/>
      <c r="AK110" s="14"/>
      <c r="AL110" s="97"/>
      <c r="AM110" s="97"/>
      <c r="AN110" s="97"/>
      <c r="AO110" s="97"/>
      <c r="AP110" s="97"/>
      <c r="AQ110" s="97"/>
      <c r="AR110" s="97"/>
      <c r="BB110" s="97"/>
    </row>
    <row r="111" spans="1:54">
      <c r="A111" s="149"/>
      <c r="B111" s="183" t="s">
        <v>38</v>
      </c>
      <c r="C111" s="5" t="s">
        <v>46</v>
      </c>
      <c r="AC111" s="83">
        <v>0.86799999999999999</v>
      </c>
      <c r="AD111" s="84">
        <v>0.87290000000000001</v>
      </c>
      <c r="AE111" s="84">
        <v>0.90629999999999999</v>
      </c>
      <c r="AF111" s="23">
        <v>0.94310000000000005</v>
      </c>
      <c r="AG111" s="69">
        <v>0.91820000000000002</v>
      </c>
      <c r="AH111" s="69">
        <v>0.88790000000000002</v>
      </c>
      <c r="AI111" s="69">
        <v>0.88690000000000002</v>
      </c>
      <c r="AJ111" s="69">
        <v>0.87780000000000002</v>
      </c>
      <c r="AK111" s="69">
        <v>0.81679999999999997</v>
      </c>
      <c r="AL111" s="42">
        <v>0.87060000000000004</v>
      </c>
      <c r="AM111" s="42">
        <v>0.91479999999999995</v>
      </c>
      <c r="AN111" s="42">
        <v>0.92459999999999998</v>
      </c>
      <c r="AO111" s="42">
        <v>0.89290000000000003</v>
      </c>
      <c r="AP111" s="42">
        <v>0.95320000000000005</v>
      </c>
      <c r="AQ111" s="42">
        <v>0.94930000000000003</v>
      </c>
      <c r="AR111" s="42">
        <v>0.95030000000000003</v>
      </c>
      <c r="AT111" s="69">
        <v>0.99770000000000003</v>
      </c>
      <c r="AU111" s="69">
        <v>0.94420000000000004</v>
      </c>
      <c r="AV111" s="69">
        <v>0.95979999999999999</v>
      </c>
      <c r="AW111" s="69">
        <v>0.9738</v>
      </c>
      <c r="AY111" s="69">
        <v>0.96689999999999998</v>
      </c>
      <c r="AZ111" s="69">
        <v>0.97440000000000004</v>
      </c>
      <c r="BB111" s="124">
        <v>0.85</v>
      </c>
    </row>
    <row r="112" spans="1:54">
      <c r="A112" s="149"/>
      <c r="B112" s="184"/>
      <c r="C112" s="6" t="s">
        <v>138</v>
      </c>
      <c r="AC112" s="81">
        <v>1.83E-2</v>
      </c>
      <c r="AD112" s="82">
        <v>1.9599999999999999E-2</v>
      </c>
      <c r="AE112" s="82">
        <v>1.34E-2</v>
      </c>
      <c r="AF112" s="23">
        <v>6.6E-3</v>
      </c>
      <c r="AG112" s="69">
        <v>1.43E-2</v>
      </c>
      <c r="AH112" s="69">
        <v>2.4E-2</v>
      </c>
      <c r="AI112" s="69">
        <v>1.7999999999999999E-2</v>
      </c>
      <c r="AJ112" s="69">
        <v>2.1000000000000001E-2</v>
      </c>
      <c r="AK112" s="69">
        <v>3.6299999999999999E-2</v>
      </c>
      <c r="AL112" s="43">
        <v>2.1000000000000001E-2</v>
      </c>
      <c r="AM112" s="43">
        <v>1.5900000000000001E-2</v>
      </c>
      <c r="AN112" s="43">
        <v>1.43E-2</v>
      </c>
      <c r="AO112" s="43">
        <v>1.7100000000000001E-2</v>
      </c>
      <c r="AP112" s="43">
        <v>5.7000000000000002E-3</v>
      </c>
      <c r="AQ112" s="43">
        <v>8.8000000000000005E-3</v>
      </c>
      <c r="AR112" s="43">
        <v>1.0800000000000001E-2</v>
      </c>
      <c r="AT112" s="69">
        <v>8.9999999999999998E-4</v>
      </c>
      <c r="AU112" s="69">
        <v>1.0800000000000001E-2</v>
      </c>
      <c r="AV112" s="69">
        <v>3.2000000000000002E-3</v>
      </c>
      <c r="AW112" s="69">
        <v>4.1000000000000003E-3</v>
      </c>
      <c r="AY112" s="69">
        <v>4.8999999999999998E-3</v>
      </c>
      <c r="AZ112" s="69">
        <v>3.3999999999999998E-3</v>
      </c>
      <c r="BB112" s="101" t="s">
        <v>130</v>
      </c>
    </row>
    <row r="113" spans="1:54">
      <c r="A113" s="149"/>
      <c r="B113" s="4"/>
      <c r="C113" s="4"/>
      <c r="AC113" s="73"/>
      <c r="AD113" s="73"/>
      <c r="AE113" s="73"/>
      <c r="AF113" s="14"/>
      <c r="AG113" s="14"/>
      <c r="AH113" s="14"/>
      <c r="AI113" s="14"/>
      <c r="AJ113" s="14"/>
      <c r="AK113" s="14"/>
      <c r="AL113" s="97"/>
      <c r="AM113" s="97"/>
      <c r="AN113" s="97"/>
      <c r="AO113" s="97"/>
      <c r="AP113" s="97"/>
      <c r="AQ113" s="97"/>
      <c r="AR113" s="97"/>
      <c r="BB113" s="97"/>
    </row>
    <row r="114" spans="1:54">
      <c r="A114" s="150"/>
      <c r="B114" s="5" t="s">
        <v>139</v>
      </c>
      <c r="C114" s="5" t="s">
        <v>140</v>
      </c>
      <c r="AC114" s="83" t="s">
        <v>33</v>
      </c>
      <c r="AD114" s="83" t="s">
        <v>33</v>
      </c>
      <c r="AE114" s="83" t="s">
        <v>33</v>
      </c>
      <c r="AF114" s="23">
        <v>0.94799999999999995</v>
      </c>
      <c r="AG114" s="69">
        <v>0.95320000000000005</v>
      </c>
      <c r="AH114" s="69">
        <v>0.94799999999999995</v>
      </c>
      <c r="AI114" s="69">
        <v>0.9708</v>
      </c>
      <c r="AJ114" s="69">
        <v>0.94710000000000005</v>
      </c>
      <c r="AK114" s="69">
        <v>0.94120000000000004</v>
      </c>
      <c r="AL114" s="42">
        <v>0.96250000000000002</v>
      </c>
      <c r="AM114" s="42">
        <v>0.96</v>
      </c>
      <c r="AN114" s="42">
        <v>0.97109999999999996</v>
      </c>
      <c r="AO114" s="42">
        <v>0.97370000000000001</v>
      </c>
      <c r="AP114" s="42">
        <v>0.97689999999999999</v>
      </c>
      <c r="AQ114" s="42">
        <v>0.96870000000000001</v>
      </c>
      <c r="AR114" s="42">
        <v>0.97130000000000005</v>
      </c>
      <c r="AT114" s="69">
        <v>0.96730000000000005</v>
      </c>
      <c r="AU114" s="69">
        <v>0.96989999999999998</v>
      </c>
      <c r="AV114" s="69">
        <v>0.96860000000000002</v>
      </c>
      <c r="AW114" s="69">
        <v>0.96399999999999997</v>
      </c>
      <c r="AX114" s="11"/>
      <c r="AY114" s="69">
        <v>0.96740000000000004</v>
      </c>
      <c r="AZ114" s="42">
        <v>0.96799999999999997</v>
      </c>
      <c r="BB114" s="124" t="s">
        <v>64</v>
      </c>
    </row>
  </sheetData>
  <mergeCells count="33">
    <mergeCell ref="A98:A107"/>
    <mergeCell ref="B98:B100"/>
    <mergeCell ref="B104:B107"/>
    <mergeCell ref="A109:A114"/>
    <mergeCell ref="B111:B112"/>
    <mergeCell ref="A83:A86"/>
    <mergeCell ref="B83:B84"/>
    <mergeCell ref="A88:A96"/>
    <mergeCell ref="B88:B89"/>
    <mergeCell ref="B91:B92"/>
    <mergeCell ref="A48:A66"/>
    <mergeCell ref="B48:B52"/>
    <mergeCell ref="B54:B56"/>
    <mergeCell ref="B62:B66"/>
    <mergeCell ref="A68:A81"/>
    <mergeCell ref="B68:B70"/>
    <mergeCell ref="B75:B78"/>
    <mergeCell ref="A8:A25"/>
    <mergeCell ref="B8:B11"/>
    <mergeCell ref="B13:B16"/>
    <mergeCell ref="B21:B23"/>
    <mergeCell ref="A27:A46"/>
    <mergeCell ref="B27:B32"/>
    <mergeCell ref="B34:B36"/>
    <mergeCell ref="B38:B39"/>
    <mergeCell ref="B41:B43"/>
    <mergeCell ref="B45:B46"/>
    <mergeCell ref="I2:L2"/>
    <mergeCell ref="R2:U2"/>
    <mergeCell ref="D2:G2"/>
    <mergeCell ref="B72:B73"/>
    <mergeCell ref="B18:B19"/>
    <mergeCell ref="B80:B81"/>
  </mergeCells>
  <pageMargins left="0.7" right="0.7" top="0.75" bottom="0.75" header="0.3" footer="0.3"/>
  <pageSetup paperSize="9"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FDE62031C5C48848003757E096A42" ma:contentTypeVersion="15" ma:contentTypeDescription="Create a new document." ma:contentTypeScope="" ma:versionID="b2fc6f4a6c0524d25b121c355658a7a2">
  <xsd:schema xmlns:xsd="http://www.w3.org/2001/XMLSchema" xmlns:xs="http://www.w3.org/2001/XMLSchema" xmlns:p="http://schemas.microsoft.com/office/2006/metadata/properties" xmlns:ns2="18bf51be-29a9-42e6-9f76-27eff9a81400" xmlns:ns3="36ac1046-0d59-40c3-9a89-59e7693eb2b4" targetNamespace="http://schemas.microsoft.com/office/2006/metadata/properties" ma:root="true" ma:fieldsID="d856d37fa1d5c61cba863a371b61cd26" ns2:_="" ns3:_="">
    <xsd:import namespace="18bf51be-29a9-42e6-9f76-27eff9a81400"/>
    <xsd:import namespace="36ac1046-0d59-40c3-9a89-59e7693eb2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f51be-29a9-42e6-9f76-27eff9a814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f0feff6-477d-4a3b-9644-3abbf40f12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c1046-0d59-40c3-9a89-59e7693eb2b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a3e1a96-b04c-4199-b4db-b5c82ed3656c}" ma:internalName="TaxCatchAll" ma:showField="CatchAllData" ma:web="36ac1046-0d59-40c3-9a89-59e7693eb2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bf51be-29a9-42e6-9f76-27eff9a81400">
      <Terms xmlns="http://schemas.microsoft.com/office/infopath/2007/PartnerControls"/>
    </lcf76f155ced4ddcb4097134ff3c332f>
    <TaxCatchAll xmlns="36ac1046-0d59-40c3-9a89-59e7693eb2b4" xsi:nil="true"/>
  </documentManagement>
</p:properties>
</file>

<file path=customXml/itemProps1.xml><?xml version="1.0" encoding="utf-8"?>
<ds:datastoreItem xmlns:ds="http://schemas.openxmlformats.org/officeDocument/2006/customXml" ds:itemID="{2B02FB49-A180-4A72-A95A-05B54D1FF169}"/>
</file>

<file path=customXml/itemProps2.xml><?xml version="1.0" encoding="utf-8"?>
<ds:datastoreItem xmlns:ds="http://schemas.openxmlformats.org/officeDocument/2006/customXml" ds:itemID="{39613583-D6C6-4860-9417-60555877E389}"/>
</file>

<file path=customXml/itemProps3.xml><?xml version="1.0" encoding="utf-8"?>
<ds:datastoreItem xmlns:ds="http://schemas.openxmlformats.org/officeDocument/2006/customXml" ds:itemID="{67E78D41-D672-416B-9F5B-169398E600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Deepak Krishnan</dc:creator>
  <cp:keywords/>
  <dc:description/>
  <cp:lastModifiedBy/>
  <cp:revision/>
  <dcterms:created xsi:type="dcterms:W3CDTF">2024-03-11T15:03:11Z</dcterms:created>
  <dcterms:modified xsi:type="dcterms:W3CDTF">2025-07-07T09:26:58Z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0x0101009F7FDE62031C5C48848003757E096A42</vt:lpwstr>
  </property>
  <property fmtid="{D5CDD505-2E9C-101B-9397-08002B2CF9AE}" pid="3" name="MediaServiceImageTags">
    <vt:lpwstr/>
  </property>
</Properties>
</file>